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car\Desktop\Ultimate Data Roadmap\Excel\Financial Modeling\"/>
    </mc:Choice>
  </mc:AlternateContent>
  <xr:revisionPtr revIDLastSave="0" documentId="13_ncr:1_{D7ECE238-E4E8-4A76-89D7-54DD43F70122}" xr6:coauthVersionLast="47" xr6:coauthVersionMax="47" xr10:uidLastSave="{00000000-0000-0000-0000-000000000000}"/>
  <bookViews>
    <workbookView showSheetTabs="0" xWindow="-108" yWindow="-108" windowWidth="23256" windowHeight="12456" xr2:uid="{E5CCC83C-7FA5-7344-8D9E-DCD20885CE04}"/>
  </bookViews>
  <sheets>
    <sheet name="3SM" sheetId="8" r:id="rId1"/>
  </sheets>
  <definedNames>
    <definedName name="_xlnm.Print_Area" localSheetId="0">'3SM'!$A$1:$M$114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8" l="1"/>
  <c r="J67" i="8"/>
  <c r="I67" i="8"/>
  <c r="H67" i="8"/>
  <c r="G67" i="8"/>
  <c r="F67" i="8"/>
  <c r="E67" i="8"/>
  <c r="D67" i="8"/>
  <c r="G12" i="8"/>
  <c r="G11" i="8"/>
  <c r="H105" i="8"/>
  <c r="I105" i="8"/>
  <c r="J105" i="8"/>
  <c r="K105" i="8"/>
  <c r="G105" i="8"/>
  <c r="H104" i="8"/>
  <c r="I104" i="8"/>
  <c r="J104" i="8"/>
  <c r="K104" i="8"/>
  <c r="G104" i="8"/>
  <c r="H101" i="8"/>
  <c r="I101" i="8"/>
  <c r="J101" i="8"/>
  <c r="K101" i="8"/>
  <c r="G101" i="8"/>
  <c r="K99" i="8"/>
  <c r="H99" i="8"/>
  <c r="I99" i="8"/>
  <c r="J99" i="8"/>
  <c r="G99" i="8"/>
  <c r="G78" i="8"/>
  <c r="G74" i="8"/>
  <c r="G76" i="8" s="1"/>
  <c r="H74" i="8" s="1"/>
  <c r="H76" i="8" s="1"/>
  <c r="I74" i="8" s="1"/>
  <c r="I76" i="8" s="1"/>
  <c r="J74" i="8" s="1"/>
  <c r="J76" i="8" s="1"/>
  <c r="K74" i="8" s="1"/>
  <c r="K76" i="8" s="1"/>
  <c r="K60" i="8" s="1"/>
  <c r="G70" i="8"/>
  <c r="G72" i="8"/>
  <c r="H70" i="8" s="1"/>
  <c r="H72" i="8" s="1"/>
  <c r="I70" i="8" s="1"/>
  <c r="I72" i="8" s="1"/>
  <c r="J70" i="8" s="1"/>
  <c r="J72" i="8" s="1"/>
  <c r="K70" i="8" s="1"/>
  <c r="K72" i="8" s="1"/>
  <c r="K59" i="8" s="1"/>
  <c r="E63" i="8"/>
  <c r="F63" i="8"/>
  <c r="E52" i="8"/>
  <c r="E57" i="8" s="1"/>
  <c r="F52" i="8"/>
  <c r="F57" i="8" s="1"/>
  <c r="D52" i="8"/>
  <c r="D57" i="8" s="1"/>
  <c r="E45" i="8"/>
  <c r="F45" i="8"/>
  <c r="D45" i="8"/>
  <c r="E41" i="8"/>
  <c r="F41" i="8"/>
  <c r="D41" i="8"/>
  <c r="E22" i="8"/>
  <c r="F22" i="8"/>
  <c r="D22" i="8"/>
  <c r="E21" i="8"/>
  <c r="F21" i="8"/>
  <c r="D21" i="8"/>
  <c r="G21" i="8" s="1"/>
  <c r="E20" i="8"/>
  <c r="G20" i="8" s="1"/>
  <c r="H20" i="8" s="1"/>
  <c r="I20" i="8" s="1"/>
  <c r="J20" i="8" s="1"/>
  <c r="K20" i="8" s="1"/>
  <c r="F20" i="8"/>
  <c r="E9" i="8"/>
  <c r="E13" i="8" s="1"/>
  <c r="F9" i="8"/>
  <c r="F13" i="8" s="1"/>
  <c r="D9" i="8"/>
  <c r="D13" i="8" s="1"/>
  <c r="G60" i="8" l="1"/>
  <c r="G103" i="8" s="1"/>
  <c r="J59" i="8"/>
  <c r="I59" i="8"/>
  <c r="H59" i="8"/>
  <c r="J60" i="8"/>
  <c r="J103" i="8" s="1"/>
  <c r="G59" i="8"/>
  <c r="G102" i="8" s="1"/>
  <c r="I60" i="8"/>
  <c r="H60" i="8"/>
  <c r="H103" i="8" s="1"/>
  <c r="E65" i="8"/>
  <c r="F65" i="8"/>
  <c r="F47" i="8"/>
  <c r="F66" i="8" s="1"/>
  <c r="H21" i="8"/>
  <c r="I21" i="8" s="1"/>
  <c r="D47" i="8"/>
  <c r="D66" i="8" s="1"/>
  <c r="E47" i="8"/>
  <c r="E66" i="8" s="1"/>
  <c r="G22" i="8"/>
  <c r="H22" i="8" s="1"/>
  <c r="I22" i="8" s="1"/>
  <c r="J22" i="8" s="1"/>
  <c r="K22" i="8" s="1"/>
  <c r="F16" i="8"/>
  <c r="F23" i="8"/>
  <c r="E23" i="8"/>
  <c r="E16" i="8"/>
  <c r="D16" i="8"/>
  <c r="D23" i="8"/>
  <c r="J102" i="8" l="1"/>
  <c r="I102" i="8"/>
  <c r="K103" i="8"/>
  <c r="H102" i="8"/>
  <c r="I103" i="8"/>
  <c r="K102" i="8"/>
  <c r="G6" i="8"/>
  <c r="G7" i="8" s="1"/>
  <c r="G24" i="8" s="1"/>
  <c r="G29" i="8"/>
  <c r="H29" i="8" s="1"/>
  <c r="I29" i="8" s="1"/>
  <c r="J29" i="8" s="1"/>
  <c r="K29" i="8" s="1"/>
  <c r="G51" i="8"/>
  <c r="G92" i="8" s="1"/>
  <c r="G30" i="8"/>
  <c r="G96" i="8" s="1"/>
  <c r="G50" i="8"/>
  <c r="G91" i="8" s="1"/>
  <c r="G27" i="8"/>
  <c r="G95" i="8" s="1"/>
  <c r="G26" i="8"/>
  <c r="G38" i="8"/>
  <c r="G40" i="8"/>
  <c r="J21" i="8"/>
  <c r="H23" i="8"/>
  <c r="I23" i="8"/>
  <c r="J23" i="8"/>
  <c r="K23" i="8"/>
  <c r="G23" i="8"/>
  <c r="G97" i="8" l="1"/>
  <c r="H40" i="8"/>
  <c r="H89" i="8" s="1"/>
  <c r="G89" i="8"/>
  <c r="H38" i="8"/>
  <c r="H87" i="8" s="1"/>
  <c r="G87" i="8"/>
  <c r="H26" i="8"/>
  <c r="G86" i="8"/>
  <c r="H6" i="8"/>
  <c r="H7" i="8" s="1"/>
  <c r="H24" i="8" s="1"/>
  <c r="H30" i="8"/>
  <c r="G44" i="8"/>
  <c r="G39" i="8"/>
  <c r="G49" i="8"/>
  <c r="G90" i="8" s="1"/>
  <c r="H27" i="8"/>
  <c r="G43" i="8"/>
  <c r="K21" i="8"/>
  <c r="I38" i="8"/>
  <c r="I27" i="8" l="1"/>
  <c r="H95" i="8"/>
  <c r="I30" i="8"/>
  <c r="H96" i="8"/>
  <c r="I26" i="8"/>
  <c r="H86" i="8"/>
  <c r="G88" i="8"/>
  <c r="I87" i="8"/>
  <c r="I40" i="8"/>
  <c r="I89" i="8" s="1"/>
  <c r="I6" i="8"/>
  <c r="J6" i="8" s="1"/>
  <c r="H44" i="8"/>
  <c r="H50" i="8"/>
  <c r="H91" i="8" s="1"/>
  <c r="H51" i="8"/>
  <c r="H92" i="8" s="1"/>
  <c r="H49" i="8"/>
  <c r="H90" i="8" s="1"/>
  <c r="G52" i="8"/>
  <c r="H39" i="8"/>
  <c r="H43" i="8"/>
  <c r="G45" i="8"/>
  <c r="J38" i="8"/>
  <c r="J87" i="8" s="1"/>
  <c r="I44" i="8" l="1"/>
  <c r="J30" i="8"/>
  <c r="I96" i="8"/>
  <c r="J27" i="8"/>
  <c r="I95" i="8"/>
  <c r="I97" i="8" s="1"/>
  <c r="H97" i="8"/>
  <c r="J26" i="8"/>
  <c r="I86" i="8"/>
  <c r="H88" i="8"/>
  <c r="J40" i="8"/>
  <c r="J89" i="8" s="1"/>
  <c r="I7" i="8"/>
  <c r="I24" i="8" s="1"/>
  <c r="I50" i="8" s="1"/>
  <c r="I91" i="8" s="1"/>
  <c r="I49" i="8"/>
  <c r="I90" i="8" s="1"/>
  <c r="H52" i="8"/>
  <c r="I43" i="8"/>
  <c r="H45" i="8"/>
  <c r="K6" i="8"/>
  <c r="G8" i="8" s="1" a="1"/>
  <c r="J7" i="8"/>
  <c r="K38" i="8"/>
  <c r="K87" i="8" s="1"/>
  <c r="J44" i="8" l="1"/>
  <c r="J24" i="8"/>
  <c r="J50" i="8" s="1"/>
  <c r="J91" i="8" s="1"/>
  <c r="K27" i="8"/>
  <c r="K95" i="8" s="1"/>
  <c r="J95" i="8"/>
  <c r="K30" i="8"/>
  <c r="K96" i="8" s="1"/>
  <c r="J96" i="8"/>
  <c r="K40" i="8"/>
  <c r="K89" i="8" s="1"/>
  <c r="K26" i="8"/>
  <c r="K86" i="8" s="1"/>
  <c r="J86" i="8"/>
  <c r="I51" i="8"/>
  <c r="I39" i="8"/>
  <c r="J49" i="8"/>
  <c r="J90" i="8" s="1"/>
  <c r="J43" i="8"/>
  <c r="I45" i="8"/>
  <c r="J9" i="8"/>
  <c r="G8" i="8"/>
  <c r="G9" i="8" s="1"/>
  <c r="G13" i="8" s="1"/>
  <c r="G15" i="8" s="1"/>
  <c r="G16" i="8" s="1"/>
  <c r="H9" i="8"/>
  <c r="K7" i="8"/>
  <c r="K24" i="8" s="1"/>
  <c r="I9" i="8"/>
  <c r="J97" i="8" l="1"/>
  <c r="K44" i="8"/>
  <c r="K97" i="8"/>
  <c r="I88" i="8"/>
  <c r="J51" i="8"/>
  <c r="J92" i="8" s="1"/>
  <c r="I92" i="8"/>
  <c r="G79" i="8"/>
  <c r="G81" i="8" s="1"/>
  <c r="H78" i="8" s="1"/>
  <c r="G85" i="8"/>
  <c r="G93" i="8" s="1"/>
  <c r="I52" i="8"/>
  <c r="J39" i="8"/>
  <c r="K50" i="8"/>
  <c r="K91" i="8" s="1"/>
  <c r="K49" i="8"/>
  <c r="K90" i="8" s="1"/>
  <c r="K43" i="8"/>
  <c r="J45" i="8"/>
  <c r="K9" i="8"/>
  <c r="G111" i="8" l="1"/>
  <c r="G112" i="8" s="1"/>
  <c r="K45" i="8"/>
  <c r="K51" i="8"/>
  <c r="K92" i="8" s="1"/>
  <c r="J52" i="8"/>
  <c r="J88" i="8"/>
  <c r="G62" i="8"/>
  <c r="G63" i="8" s="1"/>
  <c r="K39" i="8"/>
  <c r="K52" i="8" l="1"/>
  <c r="K88" i="8"/>
  <c r="D63" i="8" l="1"/>
  <c r="D65" i="8" s="1"/>
  <c r="G54" i="8"/>
  <c r="G100" i="8" l="1"/>
  <c r="G106" i="8" s="1"/>
  <c r="G108" i="8" s="1"/>
  <c r="G37" i="8" s="1"/>
  <c r="H11" i="8" s="1"/>
  <c r="H12" i="8"/>
  <c r="G57" i="8"/>
  <c r="G65" i="8" s="1"/>
  <c r="H13" i="8" l="1"/>
  <c r="H15" i="8" s="1"/>
  <c r="H16" i="8" s="1"/>
  <c r="H79" i="8" s="1"/>
  <c r="H81" i="8" s="1"/>
  <c r="G41" i="8"/>
  <c r="G47" i="8" s="1"/>
  <c r="G66" i="8" s="1"/>
  <c r="H85" i="8"/>
  <c r="H93" i="8" s="1"/>
  <c r="H111" i="8" s="1"/>
  <c r="H112" i="8" s="1"/>
  <c r="H54" i="8" s="1"/>
  <c r="I78" i="8"/>
  <c r="H62" i="8"/>
  <c r="H63" i="8" s="1"/>
  <c r="I12" i="8" l="1"/>
  <c r="H57" i="8"/>
  <c r="H65" i="8" s="1"/>
  <c r="H100" i="8"/>
  <c r="H106" i="8" s="1"/>
  <c r="H108" i="8" s="1"/>
  <c r="H37" i="8" s="1"/>
  <c r="I11" i="8" s="1"/>
  <c r="H41" i="8" l="1"/>
  <c r="H47" i="8" s="1"/>
  <c r="H66" i="8" s="1"/>
  <c r="I13" i="8"/>
  <c r="I15" i="8" s="1"/>
  <c r="I16" i="8" s="1"/>
  <c r="I79" i="8" s="1"/>
  <c r="I81" i="8" s="1"/>
  <c r="J78" i="8" s="1"/>
  <c r="I85" i="8" l="1"/>
  <c r="I93" i="8" s="1"/>
  <c r="I111" i="8" s="1"/>
  <c r="I112" i="8" s="1"/>
  <c r="I54" i="8" s="1"/>
  <c r="J12" i="8" s="1"/>
  <c r="I62" i="8"/>
  <c r="I63" i="8" s="1"/>
  <c r="I100" i="8" l="1"/>
  <c r="I106" i="8" s="1"/>
  <c r="I108" i="8" s="1"/>
  <c r="I37" i="8" s="1"/>
  <c r="J11" i="8" s="1"/>
  <c r="J13" i="8" s="1"/>
  <c r="J15" i="8" s="1"/>
  <c r="J16" i="8" s="1"/>
  <c r="I57" i="8"/>
  <c r="I65" i="8" s="1"/>
  <c r="I41" i="8" l="1"/>
  <c r="I47" i="8" s="1"/>
  <c r="I66" i="8" s="1"/>
  <c r="J85" i="8"/>
  <c r="J93" i="8" s="1"/>
  <c r="J111" i="8" s="1"/>
  <c r="J112" i="8" s="1"/>
  <c r="J54" i="8" s="1"/>
  <c r="K12" i="8" s="1"/>
  <c r="J79" i="8"/>
  <c r="J81" i="8" s="1"/>
  <c r="J100" i="8" l="1"/>
  <c r="J106" i="8" s="1"/>
  <c r="J108" i="8" s="1"/>
  <c r="J37" i="8" s="1"/>
  <c r="K11" i="8" s="1"/>
  <c r="K13" i="8" s="1"/>
  <c r="K15" i="8" s="1"/>
  <c r="K16" i="8" s="1"/>
  <c r="J57" i="8"/>
  <c r="K78" i="8"/>
  <c r="J62" i="8"/>
  <c r="J63" i="8" s="1"/>
  <c r="J41" i="8" l="1"/>
  <c r="J47" i="8" s="1"/>
  <c r="J66" i="8" s="1"/>
  <c r="J65" i="8"/>
  <c r="K85" i="8"/>
  <c r="K93" i="8" s="1"/>
  <c r="K111" i="8" s="1"/>
  <c r="K112" i="8" s="1"/>
  <c r="K54" i="8" s="1"/>
  <c r="K100" i="8" s="1"/>
  <c r="K106" i="8" s="1"/>
  <c r="K108" i="8" s="1"/>
  <c r="K37" i="8" s="1"/>
  <c r="K41" i="8" s="1"/>
  <c r="K47" i="8" s="1"/>
  <c r="K66" i="8" s="1"/>
  <c r="K79" i="8"/>
  <c r="K81" i="8" s="1"/>
  <c r="K62" i="8" s="1"/>
  <c r="K63" i="8" s="1"/>
  <c r="K57" i="8" l="1"/>
  <c r="K6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<sst xmlns="http://schemas.openxmlformats.org/spreadsheetml/2006/main" count="92" uniqueCount="77">
  <si>
    <t>Income Statement</t>
  </si>
  <si>
    <t>Balance Sheet</t>
  </si>
  <si>
    <t>Cash Flow Statement</t>
  </si>
  <si>
    <t>Revenue</t>
  </si>
  <si>
    <t>Inventory</t>
  </si>
  <si>
    <t>Retained Earnings</t>
  </si>
  <si>
    <t>Operating Profit</t>
  </si>
  <si>
    <t>Interest Expense</t>
  </si>
  <si>
    <t>Net Income</t>
  </si>
  <si>
    <t>Accounts Receivable</t>
  </si>
  <si>
    <t>Total Assets</t>
  </si>
  <si>
    <t>Accounts Payable</t>
  </si>
  <si>
    <t>Revolver</t>
  </si>
  <si>
    <t>Total Current Liabilities</t>
  </si>
  <si>
    <t>Long Term Debt</t>
  </si>
  <si>
    <t>Total Liabilities</t>
  </si>
  <si>
    <t>Capital Expenditures</t>
  </si>
  <si>
    <t>Dividends</t>
  </si>
  <si>
    <t>Tax Rate</t>
  </si>
  <si>
    <t>Actuals</t>
  </si>
  <si>
    <t>Projections</t>
  </si>
  <si>
    <t>Cost of Goods Sold</t>
  </si>
  <si>
    <t>Operating Expenses</t>
  </si>
  <si>
    <t>Interest Income</t>
  </si>
  <si>
    <t>Pretax Profit</t>
  </si>
  <si>
    <t>Tax Expense</t>
  </si>
  <si>
    <t>Margins / Growth Rates</t>
  </si>
  <si>
    <t>Gross Profit Margin</t>
  </si>
  <si>
    <t>Operating Expense as % of Revenue</t>
  </si>
  <si>
    <t>$ in millions</t>
  </si>
  <si>
    <t>Cash and Equivalents</t>
  </si>
  <si>
    <t>Prepaid Expenses and Other WC Assets</t>
  </si>
  <si>
    <t>Current Assets</t>
  </si>
  <si>
    <t>Property Plant and Equipment</t>
  </si>
  <si>
    <t>Intangible Assets</t>
  </si>
  <si>
    <t>Non Current Assets</t>
  </si>
  <si>
    <t>Revenue Growth Rate</t>
  </si>
  <si>
    <t>Memo: COGS growth rate</t>
  </si>
  <si>
    <t>Memo: Depreciation in OPEX and COGS</t>
  </si>
  <si>
    <t>Memo: Capital Expenditures</t>
  </si>
  <si>
    <t>Memo: Amortization in OPEX and COGS</t>
  </si>
  <si>
    <t>Memo: Purchases of Intangibles</t>
  </si>
  <si>
    <t>Accrued Expenses and Other</t>
  </si>
  <si>
    <t>Other Current Liabilities</t>
  </si>
  <si>
    <t>Other Liabilities</t>
  </si>
  <si>
    <t>Common Stock and APIC</t>
  </si>
  <si>
    <t>Treasury Stock</t>
  </si>
  <si>
    <t>Other Comprehensive Income</t>
  </si>
  <si>
    <t>Total Equity</t>
  </si>
  <si>
    <t>Total Liabilities and Equity</t>
  </si>
  <si>
    <t>Common Stock and APIC - EOP</t>
  </si>
  <si>
    <t>Treasury Stock - BOP</t>
  </si>
  <si>
    <t>New Repurchases</t>
  </si>
  <si>
    <t>Treasury Stock - EOP</t>
  </si>
  <si>
    <t>Retained Earnings - BOP</t>
  </si>
  <si>
    <t>Common Dividends</t>
  </si>
  <si>
    <t>Retained Earnings - EOP</t>
  </si>
  <si>
    <t>Common Stock and APIC - BOP</t>
  </si>
  <si>
    <t>New Issuances of Common Stock</t>
  </si>
  <si>
    <t>Schedules</t>
  </si>
  <si>
    <t>Depreciation and Amortization</t>
  </si>
  <si>
    <t>Cash Flow from Operations</t>
  </si>
  <si>
    <t>Net Income (GAAP)</t>
  </si>
  <si>
    <t>Purchases of Intangible Assets</t>
  </si>
  <si>
    <t>Cash for Investing Activities</t>
  </si>
  <si>
    <t>Issuances of Common Stock</t>
  </si>
  <si>
    <t>Repurchases</t>
  </si>
  <si>
    <t>Cash from Financing Activities</t>
  </si>
  <si>
    <t>Total Change in Cash</t>
  </si>
  <si>
    <t>Total CF before any revolver borrowing</t>
  </si>
  <si>
    <t>Total revolver borrowing needed</t>
  </si>
  <si>
    <t>Memo: Interest earned on cash</t>
  </si>
  <si>
    <t>Memo: Interest rate on debt</t>
  </si>
  <si>
    <t>Legend</t>
  </si>
  <si>
    <t>Assumptions</t>
  </si>
  <si>
    <t>Does the model balance?</t>
  </si>
  <si>
    <t>Checks and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</si>
</sst>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_);\(#,##0.0\)"/>
    <numFmt numFmtId="166" formatCode="#,##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165" fontId="5" fillId="0" borderId="0" xfId="0" applyNumberFormat="1" applyFont="1"/>
    <xf numFmtId="165" fontId="0" fillId="0" borderId="0" xfId="0" quotePrefix="1" applyNumberFormat="1"/>
    <xf numFmtId="166" fontId="0" fillId="0" borderId="0" xfId="0" applyNumberFormat="1"/>
    <xf numFmtId="165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9" fontId="0" fillId="2" borderId="0" xfId="1" applyFont="1" applyFill="1"/>
    <xf numFmtId="9" fontId="0" fillId="2" borderId="0" xfId="0" applyNumberFormat="1" applyFill="1"/>
    <xf numFmtId="0" fontId="3" fillId="2" borderId="0" xfId="0" applyFont="1" applyFill="1"/>
    <xf numFmtId="9" fontId="3" fillId="2" borderId="0" xfId="1" applyFont="1" applyFill="1"/>
    <xf numFmtId="165" fontId="5" fillId="2" borderId="0" xfId="0" applyNumberFormat="1" applyFont="1" applyFill="1"/>
    <xf numFmtId="165" fontId="0" fillId="2" borderId="0" xfId="0" applyNumberFormat="1" applyFill="1"/>
    <xf numFmtId="9" fontId="5" fillId="2" borderId="0" xfId="0" applyNumberFormat="1" applyFont="1" applyFill="1"/>
    <xf numFmtId="0" fontId="7" fillId="3" borderId="0" xfId="0" applyFont="1" applyFill="1"/>
    <xf numFmtId="165" fontId="7" fillId="3" borderId="0" xfId="0" applyNumberFormat="1" applyFont="1" applyFill="1"/>
    <xf numFmtId="165" fontId="7" fillId="3" borderId="0" xfId="0" applyNumberFormat="1" applyFont="1" applyFill="1" applyAlignment="1">
      <alignment horizontal="center"/>
    </xf>
    <xf numFmtId="165" fontId="0" fillId="0" borderId="0" xfId="0" applyNumberFormat="1" applyFill="1"/>
    <xf numFmtId="0" fontId="2" fillId="4" borderId="0" xfId="0" applyFont="1" applyFill="1"/>
    <xf numFmtId="0" fontId="0" fillId="4" borderId="0" xfId="0" applyFill="1"/>
    <xf numFmtId="165" fontId="0" fillId="4" borderId="0" xfId="0" applyNumberFormat="1" applyFill="1"/>
    <xf numFmtId="165" fontId="5" fillId="4" borderId="0" xfId="0" applyNumberFormat="1" applyFont="1" applyFill="1"/>
    <xf numFmtId="165" fontId="2" fillId="4" borderId="0" xfId="0" applyNumberFormat="1" applyFont="1" applyFill="1"/>
    <xf numFmtId="0" fontId="0" fillId="2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3">
    <cellStyle name="Hyperlink 2" xfId="2" xr:uid="{B27EC12D-F977-4F06-8E0B-10E23EB427CF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CB15-AF03-40F5-B013-48453E669AA4}">
  <dimension ref="A1:M114"/>
  <sheetViews>
    <sheetView showGridLines="0" tabSelected="1" zoomScale="70" zoomScaleNormal="70" zoomScalePageLayoutView="70" workbookViewId="0"/>
  </sheetViews>
  <sheetFormatPr defaultColWidth="0" defaultRowHeight="15.6" zeroHeight="1" x14ac:dyDescent="0.3"/>
  <cols>
    <col min="1" max="2" width="8.796875" customWidth="1"/>
    <col min="3" max="3" width="34.296875" bestFit="1" customWidth="1"/>
    <col min="4" max="12" width="8.796875" customWidth="1"/>
    <col min="13" max="13" width="29.296875" customWidth="1"/>
    <col min="14" max="16" width="8.796875" hidden="1" customWidth="1"/>
    <col min="17" max="16384" width="8.796875" hidden="1"/>
  </cols>
  <sheetData>
    <row r="1" spans="1:13" x14ac:dyDescent="0.3">
      <c r="A1" t="s">
        <v>29</v>
      </c>
    </row>
    <row r="2" spans="1:13" x14ac:dyDescent="0.3">
      <c r="E2" s="2" t="s">
        <v>19</v>
      </c>
      <c r="I2" s="1" t="s">
        <v>20</v>
      </c>
    </row>
    <row r="3" spans="1:13" x14ac:dyDescent="0.3">
      <c r="D3">
        <v>2021</v>
      </c>
      <c r="E3">
        <v>2022</v>
      </c>
      <c r="F3">
        <v>2023</v>
      </c>
      <c r="G3">
        <v>2024</v>
      </c>
      <c r="H3">
        <v>2025</v>
      </c>
      <c r="I3">
        <v>2016</v>
      </c>
      <c r="J3">
        <v>2027</v>
      </c>
      <c r="K3">
        <v>2028</v>
      </c>
      <c r="M3" s="33" t="s">
        <v>73</v>
      </c>
    </row>
    <row r="4" spans="1:13" x14ac:dyDescent="0.3">
      <c r="C4" s="1" t="s">
        <v>0</v>
      </c>
    </row>
    <row r="5" spans="1:13" x14ac:dyDescent="0.3"/>
    <row r="6" spans="1:13" x14ac:dyDescent="0.3">
      <c r="C6" t="s">
        <v>3</v>
      </c>
      <c r="D6" s="5">
        <v>950</v>
      </c>
      <c r="E6" s="5">
        <v>1075</v>
      </c>
      <c r="F6" s="5">
        <v>1250</v>
      </c>
      <c r="G6" s="3">
        <f>F6*(1+G20)</f>
        <v>1433.9810281517748</v>
      </c>
      <c r="H6" s="3">
        <f t="shared" ref="H6:J6" si="0">G6*(1+H20)</f>
        <v>1645.041271279377</v>
      </c>
      <c r="I6" s="3">
        <f t="shared" si="0"/>
        <v>1887.1663788330429</v>
      </c>
      <c r="J6" s="3">
        <f t="shared" si="0"/>
        <v>2164.9286273699749</v>
      </c>
      <c r="K6" s="3">
        <f t="shared" ref="K6" si="1">J6*(1+K20)</f>
        <v>2483.5732631609658</v>
      </c>
      <c r="M6" s="8" t="s">
        <v>19</v>
      </c>
    </row>
    <row r="7" spans="1:13" x14ac:dyDescent="0.3">
      <c r="C7" t="s">
        <v>21</v>
      </c>
      <c r="D7" s="5">
        <v>-600</v>
      </c>
      <c r="E7" s="5">
        <v>-700</v>
      </c>
      <c r="F7" s="5">
        <v>-775</v>
      </c>
      <c r="G7" s="3">
        <f>-(1-G21)*G6</f>
        <v>-909.49851795310497</v>
      </c>
      <c r="H7" s="3">
        <f t="shared" ref="H7:K7" si="2">-(1-H21)*H6</f>
        <v>-1043.3628959015271</v>
      </c>
      <c r="I7" s="3">
        <f t="shared" si="2"/>
        <v>-1196.9300785602279</v>
      </c>
      <c r="J7" s="3">
        <f t="shared" si="2"/>
        <v>-1373.1000197436642</v>
      </c>
      <c r="K7" s="3">
        <f t="shared" si="2"/>
        <v>-1575.1995024537935</v>
      </c>
      <c r="M7" s="9" t="s">
        <v>20</v>
      </c>
    </row>
    <row r="8" spans="1:13" x14ac:dyDescent="0.3">
      <c r="C8" t="s">
        <v>22</v>
      </c>
      <c r="D8" s="5">
        <v>-150</v>
      </c>
      <c r="E8" s="5">
        <v>-165</v>
      </c>
      <c r="F8" s="5">
        <v>-175</v>
      </c>
      <c r="G8" s="3" cm="1">
        <f t="array" ref="G8:K8">-(G6:K6*G22:K22)</f>
        <v>-215.75827154704672</v>
      </c>
      <c r="H8" s="3">
        <v>-247.51461445222714</v>
      </c>
      <c r="I8" s="3">
        <v>-283.94500905183583</v>
      </c>
      <c r="J8" s="3">
        <v>-325.73740481497322</v>
      </c>
      <c r="K8" s="3">
        <v>-373.68100693125297</v>
      </c>
      <c r="M8" s="30" t="s">
        <v>74</v>
      </c>
    </row>
    <row r="9" spans="1:13" x14ac:dyDescent="0.3">
      <c r="C9" s="1" t="s">
        <v>6</v>
      </c>
      <c r="D9" s="4">
        <f>SUM(D6:D8)</f>
        <v>200</v>
      </c>
      <c r="E9" s="4">
        <f t="shared" ref="E9:F9" si="3">SUM(E6:E8)</f>
        <v>210</v>
      </c>
      <c r="F9" s="4">
        <f t="shared" si="3"/>
        <v>300</v>
      </c>
      <c r="G9" s="4">
        <f t="shared" ref="G9" si="4">SUM(G6:G8)</f>
        <v>308.72423865162312</v>
      </c>
      <c r="H9" s="4">
        <f t="shared" ref="H9" si="5">SUM(H6:H8)</f>
        <v>354.16376092562285</v>
      </c>
      <c r="I9" s="4">
        <f t="shared" ref="I9" si="6">SUM(I6:I8)</f>
        <v>406.29129122097919</v>
      </c>
      <c r="J9" s="4">
        <f t="shared" ref="J9" si="7">SUM(J6:J8)</f>
        <v>466.0912028113375</v>
      </c>
      <c r="K9" s="4">
        <f t="shared" ref="K9" si="8">SUM(K6:K8)</f>
        <v>534.6927537759193</v>
      </c>
      <c r="M9" s="31" t="s">
        <v>59</v>
      </c>
    </row>
    <row r="10" spans="1:13" x14ac:dyDescent="0.3">
      <c r="M10" s="32" t="s">
        <v>76</v>
      </c>
    </row>
    <row r="11" spans="1:13" x14ac:dyDescent="0.3">
      <c r="C11" t="s">
        <v>23</v>
      </c>
      <c r="D11" s="5">
        <v>6</v>
      </c>
      <c r="E11" s="5">
        <v>7</v>
      </c>
      <c r="F11" s="5">
        <v>8</v>
      </c>
      <c r="G11" s="7">
        <f>G32*F37</f>
        <v>9.18</v>
      </c>
      <c r="H11" s="7">
        <f t="shared" ref="H11:K11" si="9">H32*G37</f>
        <v>7.4970223302999308</v>
      </c>
      <c r="I11" s="7">
        <f t="shared" si="9"/>
        <v>6.6931358260479161</v>
      </c>
      <c r="J11" s="7">
        <f t="shared" si="9"/>
        <v>6.5053195082428754</v>
      </c>
      <c r="K11" s="7">
        <f t="shared" si="9"/>
        <v>7.0393780634103305</v>
      </c>
    </row>
    <row r="12" spans="1:13" x14ac:dyDescent="0.3">
      <c r="C12" t="s">
        <v>7</v>
      </c>
      <c r="D12" s="5">
        <v>-13</v>
      </c>
      <c r="E12" s="5">
        <v>-14</v>
      </c>
      <c r="F12" s="5">
        <v>-15</v>
      </c>
      <c r="G12" s="7">
        <f>(G33*SUM(F54:F55))*-1</f>
        <v>-15.280000000000001</v>
      </c>
      <c r="H12" s="7">
        <f>(H33*SUM(G54:G55))*-1</f>
        <v>-14.88</v>
      </c>
      <c r="I12" s="7">
        <f>(I33*SUM(H54:H55))*-1</f>
        <v>-14.88</v>
      </c>
      <c r="J12" s="7">
        <f>(J33*SUM(I54:I55))*-1</f>
        <v>-14.88</v>
      </c>
      <c r="K12" s="7">
        <f>(K33*SUM(J54:J55))*-1</f>
        <v>-14.88</v>
      </c>
    </row>
    <row r="13" spans="1:13" x14ac:dyDescent="0.3">
      <c r="C13" s="1" t="s">
        <v>24</v>
      </c>
      <c r="D13" s="4">
        <f>D9+D11+D12</f>
        <v>193</v>
      </c>
      <c r="E13" s="4">
        <f t="shared" ref="E13:F13" si="10">E9+E11+E12</f>
        <v>203</v>
      </c>
      <c r="F13" s="4">
        <f t="shared" si="10"/>
        <v>293</v>
      </c>
      <c r="G13" s="4">
        <f t="shared" ref="G13" si="11">G9+G11+G12</f>
        <v>302.62423865162316</v>
      </c>
      <c r="H13" s="4">
        <f t="shared" ref="H13" si="12">H9+H11+H12</f>
        <v>346.78078325592281</v>
      </c>
      <c r="I13" s="4">
        <f t="shared" ref="I13" si="13">I9+I11+I12</f>
        <v>398.10442704702712</v>
      </c>
      <c r="J13" s="4">
        <f t="shared" ref="J13" si="14">J9+J11+J12</f>
        <v>457.71652231958035</v>
      </c>
      <c r="K13" s="4">
        <f t="shared" ref="K13" si="15">K9+K11+K12</f>
        <v>526.85213183932967</v>
      </c>
    </row>
    <row r="14" spans="1:13" x14ac:dyDescent="0.3"/>
    <row r="15" spans="1:13" x14ac:dyDescent="0.3">
      <c r="C15" t="s">
        <v>25</v>
      </c>
      <c r="D15" s="5">
        <v>-70</v>
      </c>
      <c r="E15" s="5">
        <v>-68</v>
      </c>
      <c r="F15" s="5">
        <v>-71</v>
      </c>
      <c r="G15" s="3">
        <f>-G13*G23</f>
        <v>-94.821302033430825</v>
      </c>
      <c r="H15" s="3">
        <f t="shared" ref="H15:K15" si="16">-H13*H23</f>
        <v>-108.65687935312118</v>
      </c>
      <c r="I15" s="3">
        <f t="shared" si="16"/>
        <v>-124.73812502946257</v>
      </c>
      <c r="J15" s="3">
        <f t="shared" si="16"/>
        <v>-143.41639255974951</v>
      </c>
      <c r="K15" s="3">
        <f t="shared" si="16"/>
        <v>-165.07866436172543</v>
      </c>
    </row>
    <row r="16" spans="1:13" x14ac:dyDescent="0.3">
      <c r="C16" s="1" t="s">
        <v>8</v>
      </c>
      <c r="D16" s="4">
        <f>D13+D15</f>
        <v>123</v>
      </c>
      <c r="E16" s="4">
        <f t="shared" ref="E16:K16" si="17">E13+E15</f>
        <v>135</v>
      </c>
      <c r="F16" s="4">
        <f t="shared" si="17"/>
        <v>222</v>
      </c>
      <c r="G16" s="4">
        <f t="shared" si="17"/>
        <v>207.80293661819235</v>
      </c>
      <c r="H16" s="4">
        <f t="shared" si="17"/>
        <v>238.12390390280163</v>
      </c>
      <c r="I16" s="4">
        <f t="shared" si="17"/>
        <v>273.36630201756452</v>
      </c>
      <c r="J16" s="4">
        <f t="shared" si="17"/>
        <v>314.30012975983084</v>
      </c>
      <c r="K16" s="4">
        <f t="shared" si="17"/>
        <v>361.77346747760424</v>
      </c>
    </row>
    <row r="17" spans="3:11" x14ac:dyDescent="0.3"/>
    <row r="18" spans="3:11" x14ac:dyDescent="0.3"/>
    <row r="19" spans="3:11" x14ac:dyDescent="0.3">
      <c r="C19" s="10" t="s">
        <v>26</v>
      </c>
      <c r="D19" s="11"/>
      <c r="E19" s="11"/>
      <c r="F19" s="11"/>
      <c r="G19" s="11"/>
      <c r="H19" s="11"/>
      <c r="I19" s="11"/>
      <c r="J19" s="11"/>
      <c r="K19" s="11"/>
    </row>
    <row r="20" spans="3:11" x14ac:dyDescent="0.3">
      <c r="C20" s="11" t="s">
        <v>36</v>
      </c>
      <c r="D20" s="11"/>
      <c r="E20" s="12">
        <f>E6/D6-1</f>
        <v>0.13157894736842102</v>
      </c>
      <c r="F20" s="12">
        <f>F6/E6-1</f>
        <v>0.16279069767441867</v>
      </c>
      <c r="G20" s="13">
        <f>AVERAGE(E20:F20)</f>
        <v>0.14718482252141984</v>
      </c>
      <c r="H20" s="13">
        <f>G20</f>
        <v>0.14718482252141984</v>
      </c>
      <c r="I20" s="13">
        <f t="shared" ref="I20:K20" si="18">H20</f>
        <v>0.14718482252141984</v>
      </c>
      <c r="J20" s="13">
        <f t="shared" si="18"/>
        <v>0.14718482252141984</v>
      </c>
      <c r="K20" s="13">
        <f t="shared" si="18"/>
        <v>0.14718482252141984</v>
      </c>
    </row>
    <row r="21" spans="3:11" x14ac:dyDescent="0.3">
      <c r="C21" s="11" t="s">
        <v>27</v>
      </c>
      <c r="D21" s="14">
        <f>1+(D7/D6)</f>
        <v>0.36842105263157898</v>
      </c>
      <c r="E21" s="14">
        <f t="shared" ref="E21:F21" si="19">1+(E7/E6)</f>
        <v>0.34883720930232553</v>
      </c>
      <c r="F21" s="14">
        <f t="shared" si="19"/>
        <v>0.38</v>
      </c>
      <c r="G21" s="15">
        <f>AVERAGE(D21:F21)</f>
        <v>0.36575275397796814</v>
      </c>
      <c r="H21" s="15">
        <f>G21</f>
        <v>0.36575275397796814</v>
      </c>
      <c r="I21" s="15">
        <f t="shared" ref="I21:J22" si="20">H21</f>
        <v>0.36575275397796814</v>
      </c>
      <c r="J21" s="15">
        <f t="shared" si="20"/>
        <v>0.36575275397796814</v>
      </c>
      <c r="K21" s="15">
        <f t="shared" ref="K21:K22" si="21">J21</f>
        <v>0.36575275397796814</v>
      </c>
    </row>
    <row r="22" spans="3:11" x14ac:dyDescent="0.3">
      <c r="C22" s="11" t="s">
        <v>28</v>
      </c>
      <c r="D22" s="14">
        <f>-D8/D6</f>
        <v>0.15789473684210525</v>
      </c>
      <c r="E22" s="14">
        <f t="shared" ref="E22:F22" si="22">-E8/E6</f>
        <v>0.15348837209302327</v>
      </c>
      <c r="F22" s="14">
        <f t="shared" si="22"/>
        <v>0.14000000000000001</v>
      </c>
      <c r="G22" s="15">
        <f>AVERAGE(D22:F22)</f>
        <v>0.15046103631170951</v>
      </c>
      <c r="H22" s="15">
        <f>G22</f>
        <v>0.15046103631170951</v>
      </c>
      <c r="I22" s="15">
        <f t="shared" si="20"/>
        <v>0.15046103631170951</v>
      </c>
      <c r="J22" s="15">
        <f t="shared" si="20"/>
        <v>0.15046103631170951</v>
      </c>
      <c r="K22" s="15">
        <f t="shared" si="21"/>
        <v>0.15046103631170951</v>
      </c>
    </row>
    <row r="23" spans="3:11" x14ac:dyDescent="0.3">
      <c r="C23" s="11" t="s">
        <v>18</v>
      </c>
      <c r="D23" s="14">
        <f>-D15/D13</f>
        <v>0.36269430051813473</v>
      </c>
      <c r="E23" s="14">
        <f t="shared" ref="E23:F23" si="23">-E15/E13</f>
        <v>0.33497536945812806</v>
      </c>
      <c r="F23" s="14">
        <f t="shared" si="23"/>
        <v>0.24232081911262798</v>
      </c>
      <c r="G23" s="15">
        <f>AVERAGE($D$23:$F$23)</f>
        <v>0.31333016302963029</v>
      </c>
      <c r="H23" s="15">
        <f t="shared" ref="H23:K23" si="24">AVERAGE($D$23:$F$23)</f>
        <v>0.31333016302963029</v>
      </c>
      <c r="I23" s="15">
        <f t="shared" si="24"/>
        <v>0.31333016302963029</v>
      </c>
      <c r="J23" s="15">
        <f t="shared" si="24"/>
        <v>0.31333016302963029</v>
      </c>
      <c r="K23" s="15">
        <f t="shared" si="24"/>
        <v>0.31333016302963029</v>
      </c>
    </row>
    <row r="24" spans="3:11" x14ac:dyDescent="0.3">
      <c r="C24" s="16" t="s">
        <v>37</v>
      </c>
      <c r="D24" s="11"/>
      <c r="E24" s="11"/>
      <c r="F24" s="11"/>
      <c r="G24" s="17">
        <f>G7/F7-1</f>
        <v>0.17354647477820007</v>
      </c>
      <c r="H24" s="17">
        <f t="shared" ref="H24:K24" si="25">H7/G7-1</f>
        <v>0.14718482252141984</v>
      </c>
      <c r="I24" s="17">
        <f t="shared" si="25"/>
        <v>0.14718482252141984</v>
      </c>
      <c r="J24" s="17">
        <f t="shared" si="25"/>
        <v>0.14718482252141984</v>
      </c>
      <c r="K24" s="17">
        <f t="shared" si="25"/>
        <v>0.14718482252141984</v>
      </c>
    </row>
    <row r="25" spans="3:11" x14ac:dyDescent="0.3">
      <c r="C25" s="16"/>
      <c r="D25" s="11"/>
      <c r="E25" s="11"/>
      <c r="F25" s="11"/>
      <c r="G25" s="17"/>
      <c r="H25" s="17"/>
      <c r="I25" s="17"/>
      <c r="J25" s="17"/>
      <c r="K25" s="17"/>
    </row>
    <row r="26" spans="3:11" x14ac:dyDescent="0.3">
      <c r="C26" s="16" t="s">
        <v>38</v>
      </c>
      <c r="D26" s="18">
        <v>-25</v>
      </c>
      <c r="E26" s="18">
        <v>-30</v>
      </c>
      <c r="F26" s="18">
        <v>-35</v>
      </c>
      <c r="G26" s="19">
        <f>(F26*(1+G20))</f>
        <v>-40.151468788249694</v>
      </c>
      <c r="H26" s="19">
        <f>(G26*(1+H20))</f>
        <v>-46.061155595822555</v>
      </c>
      <c r="I26" s="19">
        <f>(H26*(1+I20))</f>
        <v>-52.840658607325203</v>
      </c>
      <c r="J26" s="19">
        <f>(I26*(1+J20))</f>
        <v>-60.618001566359297</v>
      </c>
      <c r="K26" s="19">
        <f>(J26*(1+K20))</f>
        <v>-69.540051368507036</v>
      </c>
    </row>
    <row r="27" spans="3:11" x14ac:dyDescent="0.3">
      <c r="C27" s="16" t="s">
        <v>39</v>
      </c>
      <c r="D27" s="18">
        <v>-35</v>
      </c>
      <c r="E27" s="18">
        <v>-40</v>
      </c>
      <c r="F27" s="18">
        <v>-67</v>
      </c>
      <c r="G27" s="19">
        <f>F27*(1+G20)</f>
        <v>-76.861383108935129</v>
      </c>
      <c r="H27" s="19">
        <f t="shared" ref="H27:K27" si="26">G27*(1+H20)</f>
        <v>-88.17421214057461</v>
      </c>
      <c r="I27" s="19">
        <f t="shared" si="26"/>
        <v>-101.15211790545111</v>
      </c>
      <c r="J27" s="19">
        <f t="shared" si="26"/>
        <v>-116.04017442703066</v>
      </c>
      <c r="K27" s="19">
        <f t="shared" si="26"/>
        <v>-133.11952690542776</v>
      </c>
    </row>
    <row r="28" spans="3:11" x14ac:dyDescent="0.3">
      <c r="C28" s="16"/>
      <c r="D28" s="18"/>
      <c r="E28" s="18"/>
      <c r="F28" s="18"/>
      <c r="G28" s="19"/>
      <c r="H28" s="19"/>
      <c r="I28" s="19"/>
      <c r="J28" s="19"/>
      <c r="K28" s="19"/>
    </row>
    <row r="29" spans="3:11" x14ac:dyDescent="0.3">
      <c r="C29" s="16" t="s">
        <v>40</v>
      </c>
      <c r="D29" s="18">
        <v>-10</v>
      </c>
      <c r="E29" s="18">
        <v>-12</v>
      </c>
      <c r="F29" s="18">
        <v>-14</v>
      </c>
      <c r="G29" s="19">
        <f>(F29*(1+G20))</f>
        <v>-16.060587515299879</v>
      </c>
      <c r="H29" s="19">
        <f t="shared" ref="H29:K29" si="27">(G29*(1+H20))</f>
        <v>-18.424462238329024</v>
      </c>
      <c r="I29" s="19">
        <f t="shared" si="27"/>
        <v>-21.136263442930083</v>
      </c>
      <c r="J29" s="19">
        <f t="shared" si="27"/>
        <v>-24.247200626543723</v>
      </c>
      <c r="K29" s="19">
        <f t="shared" si="27"/>
        <v>-27.816020547402822</v>
      </c>
    </row>
    <row r="30" spans="3:11" x14ac:dyDescent="0.3">
      <c r="C30" s="16" t="s">
        <v>41</v>
      </c>
      <c r="D30" s="18">
        <v>-16</v>
      </c>
      <c r="E30" s="18">
        <v>-18</v>
      </c>
      <c r="F30" s="18">
        <v>-21</v>
      </c>
      <c r="G30" s="19">
        <f>F30*(1+G20)</f>
        <v>-24.090881272949815</v>
      </c>
      <c r="H30" s="19">
        <f t="shared" ref="H30:K30" si="28">G30*(1+H20)</f>
        <v>-27.636693357493531</v>
      </c>
      <c r="I30" s="19">
        <f t="shared" si="28"/>
        <v>-31.70439516439512</v>
      </c>
      <c r="J30" s="19">
        <f t="shared" si="28"/>
        <v>-36.370800939815574</v>
      </c>
      <c r="K30" s="19">
        <f t="shared" si="28"/>
        <v>-41.724030821104222</v>
      </c>
    </row>
    <row r="31" spans="3:11" x14ac:dyDescent="0.3">
      <c r="C31" s="11"/>
      <c r="D31" s="11"/>
      <c r="E31" s="11"/>
      <c r="F31" s="11"/>
      <c r="G31" s="11"/>
      <c r="H31" s="11"/>
      <c r="I31" s="11"/>
      <c r="J31" s="11"/>
      <c r="K31" s="11"/>
    </row>
    <row r="32" spans="3:11" x14ac:dyDescent="0.3">
      <c r="C32" s="16" t="s">
        <v>71</v>
      </c>
      <c r="D32" s="11"/>
      <c r="E32" s="11"/>
      <c r="F32" s="11"/>
      <c r="G32" s="20">
        <v>0.03</v>
      </c>
      <c r="H32" s="20">
        <v>0.03</v>
      </c>
      <c r="I32" s="20">
        <v>0.03</v>
      </c>
      <c r="J32" s="20">
        <v>0.03</v>
      </c>
      <c r="K32" s="20">
        <v>0.03</v>
      </c>
    </row>
    <row r="33" spans="3:11" x14ac:dyDescent="0.3">
      <c r="C33" s="16" t="s">
        <v>72</v>
      </c>
      <c r="D33" s="11"/>
      <c r="E33" s="11"/>
      <c r="F33" s="11"/>
      <c r="G33" s="20">
        <v>0.08</v>
      </c>
      <c r="H33" s="20">
        <v>0.08</v>
      </c>
      <c r="I33" s="20">
        <v>0.08</v>
      </c>
      <c r="J33" s="20">
        <v>0.08</v>
      </c>
      <c r="K33" s="20">
        <v>0.08</v>
      </c>
    </row>
    <row r="34" spans="3:11" x14ac:dyDescent="0.3"/>
    <row r="35" spans="3:11" x14ac:dyDescent="0.3">
      <c r="C35" s="1" t="s">
        <v>1</v>
      </c>
    </row>
    <row r="36" spans="3:11" x14ac:dyDescent="0.3"/>
    <row r="37" spans="3:11" x14ac:dyDescent="0.3">
      <c r="C37" t="s">
        <v>30</v>
      </c>
      <c r="D37" s="5">
        <v>286</v>
      </c>
      <c r="E37" s="5">
        <v>296</v>
      </c>
      <c r="F37" s="5">
        <v>306</v>
      </c>
      <c r="G37" s="24">
        <f>F37+G108</f>
        <v>249.90074434333104</v>
      </c>
      <c r="H37" s="24">
        <f t="shared" ref="H37:K37" si="29">G37+H108</f>
        <v>223.10452753493055</v>
      </c>
      <c r="I37" s="24">
        <f t="shared" si="29"/>
        <v>216.84398360809587</v>
      </c>
      <c r="J37" s="24">
        <f t="shared" si="29"/>
        <v>234.64593544701103</v>
      </c>
      <c r="K37" s="24">
        <f t="shared" si="29"/>
        <v>280.56668902451963</v>
      </c>
    </row>
    <row r="38" spans="3:11" x14ac:dyDescent="0.3">
      <c r="C38" t="s">
        <v>9</v>
      </c>
      <c r="D38" s="5">
        <v>135</v>
      </c>
      <c r="E38" s="5">
        <v>145</v>
      </c>
      <c r="F38" s="5">
        <v>154</v>
      </c>
      <c r="G38" s="3">
        <f>F38*(1+G20)</f>
        <v>176.66646266829866</v>
      </c>
      <c r="H38" s="3">
        <f>G38*(1+H20)</f>
        <v>202.66908462161925</v>
      </c>
      <c r="I38" s="3">
        <f>H38*(1+I20)</f>
        <v>232.49889787223088</v>
      </c>
      <c r="J38" s="3">
        <f>I38*(1+J20)</f>
        <v>266.71920689198089</v>
      </c>
      <c r="K38" s="3">
        <f>J38*(1+K20)</f>
        <v>305.97622602143093</v>
      </c>
    </row>
    <row r="39" spans="3:11" x14ac:dyDescent="0.3">
      <c r="C39" t="s">
        <v>4</v>
      </c>
      <c r="D39" s="5">
        <v>265</v>
      </c>
      <c r="E39" s="5">
        <v>297</v>
      </c>
      <c r="F39" s="5">
        <v>345</v>
      </c>
      <c r="G39" s="3">
        <f>F39*(1+G24)</f>
        <v>404.873533798479</v>
      </c>
      <c r="H39" s="3">
        <f>G39*(1+H24)</f>
        <v>464.46477301422823</v>
      </c>
      <c r="I39" s="3">
        <f>H39*(1+I24)</f>
        <v>532.82693819777899</v>
      </c>
      <c r="J39" s="3">
        <f>I39*(1+J24)</f>
        <v>611.25097653105058</v>
      </c>
      <c r="K39" s="3">
        <f>J39*(1+K24)</f>
        <v>701.21784302781782</v>
      </c>
    </row>
    <row r="40" spans="3:11" x14ac:dyDescent="0.3">
      <c r="C40" t="s">
        <v>31</v>
      </c>
      <c r="D40" s="5">
        <v>39</v>
      </c>
      <c r="E40" s="5">
        <v>41</v>
      </c>
      <c r="F40" s="5">
        <v>45</v>
      </c>
      <c r="G40" s="3">
        <f>F40*(1+G20)</f>
        <v>51.62331701346389</v>
      </c>
      <c r="H40" s="3">
        <f>G40*(1+H20)</f>
        <v>59.221485766057569</v>
      </c>
      <c r="I40" s="3">
        <f>H40*(1+I20)</f>
        <v>67.937989637989546</v>
      </c>
      <c r="J40" s="3">
        <f>I40*(1+J20)</f>
        <v>77.937430585319092</v>
      </c>
      <c r="K40" s="3">
        <f>J40*(1+K20)</f>
        <v>89.408637473794755</v>
      </c>
    </row>
    <row r="41" spans="3:11" x14ac:dyDescent="0.3">
      <c r="C41" s="1" t="s">
        <v>32</v>
      </c>
      <c r="D41" s="4">
        <f>SUM(D37:D40)</f>
        <v>725</v>
      </c>
      <c r="E41" s="4">
        <f t="shared" ref="E41:F41" si="30">SUM(E37:E40)</f>
        <v>779</v>
      </c>
      <c r="F41" s="4">
        <f t="shared" si="30"/>
        <v>850</v>
      </c>
      <c r="G41" s="4">
        <f t="shared" ref="G41" si="31">SUM(G37:G40)</f>
        <v>883.06405782357263</v>
      </c>
      <c r="H41" s="4">
        <f t="shared" ref="H41" si="32">SUM(H37:H40)</f>
        <v>949.4598709368355</v>
      </c>
      <c r="I41" s="4">
        <f t="shared" ref="I41" si="33">SUM(I37:I40)</f>
        <v>1050.1078093160954</v>
      </c>
      <c r="J41" s="4">
        <f t="shared" ref="J41" si="34">SUM(J37:J40)</f>
        <v>1190.5535494553617</v>
      </c>
      <c r="K41" s="4">
        <f t="shared" ref="K41" si="35">SUM(K37:K40)</f>
        <v>1377.1693955475632</v>
      </c>
    </row>
    <row r="42" spans="3:11" x14ac:dyDescent="0.3"/>
    <row r="43" spans="3:11" x14ac:dyDescent="0.3">
      <c r="C43" t="s">
        <v>33</v>
      </c>
      <c r="D43" s="5">
        <v>210</v>
      </c>
      <c r="E43" s="5">
        <v>243</v>
      </c>
      <c r="F43" s="5">
        <v>265</v>
      </c>
      <c r="G43" s="3">
        <f>F43-G27+G26</f>
        <v>301.70991432068541</v>
      </c>
      <c r="H43" s="3">
        <f>G43-H27+H26</f>
        <v>343.82297086543747</v>
      </c>
      <c r="I43" s="3">
        <f>H43-I27+I26</f>
        <v>392.13443016356337</v>
      </c>
      <c r="J43" s="3">
        <f>I43-J27+J26</f>
        <v>447.55660302423473</v>
      </c>
      <c r="K43" s="3">
        <f>J43-K27+K26</f>
        <v>511.13607856115544</v>
      </c>
    </row>
    <row r="44" spans="3:11" x14ac:dyDescent="0.3">
      <c r="C44" t="s">
        <v>34</v>
      </c>
      <c r="D44" s="5">
        <v>47</v>
      </c>
      <c r="E44" s="5">
        <v>56</v>
      </c>
      <c r="F44" s="5">
        <v>67</v>
      </c>
      <c r="G44" s="3">
        <f>F44-G30+G29</f>
        <v>75.030293757649929</v>
      </c>
      <c r="H44" s="3">
        <f t="shared" ref="H44:K44" si="36">G44-H30+H29</f>
        <v>84.242524876814429</v>
      </c>
      <c r="I44" s="3">
        <f t="shared" si="36"/>
        <v>94.810656598279465</v>
      </c>
      <c r="J44" s="3">
        <f t="shared" si="36"/>
        <v>106.9342569115513</v>
      </c>
      <c r="K44" s="3">
        <f t="shared" si="36"/>
        <v>120.84226718525272</v>
      </c>
    </row>
    <row r="45" spans="3:11" x14ac:dyDescent="0.3">
      <c r="C45" s="1" t="s">
        <v>35</v>
      </c>
      <c r="D45" s="1">
        <f>SUM(D43:D44)</f>
        <v>257</v>
      </c>
      <c r="E45" s="1">
        <f t="shared" ref="E45:F45" si="37">SUM(E43:E44)</f>
        <v>299</v>
      </c>
      <c r="F45" s="1">
        <f t="shared" si="37"/>
        <v>332</v>
      </c>
      <c r="G45" s="4">
        <f t="shared" ref="G45" si="38">SUM(G43:G44)</f>
        <v>376.74020807833534</v>
      </c>
      <c r="H45" s="4">
        <f t="shared" ref="H45" si="39">SUM(H43:H44)</f>
        <v>428.06549574225187</v>
      </c>
      <c r="I45" s="4">
        <f t="shared" ref="I45" si="40">SUM(I43:I44)</f>
        <v>486.94508676184284</v>
      </c>
      <c r="J45" s="4">
        <f t="shared" ref="J45" si="41">SUM(J43:J44)</f>
        <v>554.49085993578603</v>
      </c>
      <c r="K45" s="4">
        <f t="shared" ref="K45" si="42">SUM(K43:K44)</f>
        <v>631.97834574640819</v>
      </c>
    </row>
    <row r="46" spans="3:11" x14ac:dyDescent="0.3"/>
    <row r="47" spans="3:11" x14ac:dyDescent="0.3">
      <c r="C47" s="1" t="s">
        <v>10</v>
      </c>
      <c r="D47" s="1">
        <f>D41+D45</f>
        <v>982</v>
      </c>
      <c r="E47" s="1">
        <f t="shared" ref="E47:K47" si="43">E41+E45</f>
        <v>1078</v>
      </c>
      <c r="F47" s="1">
        <f t="shared" si="43"/>
        <v>1182</v>
      </c>
      <c r="G47" s="4">
        <f t="shared" si="43"/>
        <v>1259.8042659019079</v>
      </c>
      <c r="H47" s="4">
        <f t="shared" si="43"/>
        <v>1377.5253666790873</v>
      </c>
      <c r="I47" s="4">
        <f t="shared" si="43"/>
        <v>1537.0528960779384</v>
      </c>
      <c r="J47" s="4">
        <f t="shared" si="43"/>
        <v>1745.0444093911478</v>
      </c>
      <c r="K47" s="4">
        <f t="shared" si="43"/>
        <v>2009.1477412939714</v>
      </c>
    </row>
    <row r="48" spans="3:11" x14ac:dyDescent="0.3"/>
    <row r="49" spans="3:11" x14ac:dyDescent="0.3">
      <c r="C49" t="s">
        <v>11</v>
      </c>
      <c r="D49" s="5">
        <v>45</v>
      </c>
      <c r="E49" s="5">
        <v>47</v>
      </c>
      <c r="F49" s="5">
        <v>49</v>
      </c>
      <c r="G49" s="3">
        <f>F49*(1+G24)</f>
        <v>57.503777264131806</v>
      </c>
      <c r="H49" s="3">
        <f t="shared" ref="H49:K49" si="44">G49*(1+H20)</f>
        <v>65.967460515064303</v>
      </c>
      <c r="I49" s="3">
        <f t="shared" si="44"/>
        <v>75.676869483162818</v>
      </c>
      <c r="J49" s="3">
        <f t="shared" si="44"/>
        <v>86.815356087018785</v>
      </c>
      <c r="K49" s="3">
        <f t="shared" si="44"/>
        <v>99.593258864820513</v>
      </c>
    </row>
    <row r="50" spans="3:11" x14ac:dyDescent="0.3">
      <c r="C50" t="s">
        <v>42</v>
      </c>
      <c r="D50" s="5">
        <v>32</v>
      </c>
      <c r="E50" s="5">
        <v>37</v>
      </c>
      <c r="F50" s="5">
        <v>47</v>
      </c>
      <c r="G50" s="3">
        <f>F50*(1+G20)</f>
        <v>53.917686658506732</v>
      </c>
      <c r="H50" s="3">
        <f t="shared" ref="H50:K50" si="45">G50*(1+H24)</f>
        <v>61.853551800104569</v>
      </c>
      <c r="I50" s="3">
        <f t="shared" si="45"/>
        <v>70.957455844122407</v>
      </c>
      <c r="J50" s="3">
        <f t="shared" si="45"/>
        <v>81.401316389111045</v>
      </c>
      <c r="K50" s="3">
        <f t="shared" si="45"/>
        <v>93.382354694852296</v>
      </c>
    </row>
    <row r="51" spans="3:11" x14ac:dyDescent="0.3">
      <c r="C51" t="s">
        <v>43</v>
      </c>
      <c r="D51" s="5">
        <v>112</v>
      </c>
      <c r="E51" s="5">
        <v>143</v>
      </c>
      <c r="F51" s="5">
        <v>167</v>
      </c>
      <c r="G51" s="3">
        <f>F51*(1+G20)</f>
        <v>191.57986536107711</v>
      </c>
      <c r="H51" s="3">
        <f t="shared" ref="H51:K51" si="46">G51*(1+H24)</f>
        <v>219.77751384292475</v>
      </c>
      <c r="I51" s="3">
        <f t="shared" si="46"/>
        <v>252.12542821209453</v>
      </c>
      <c r="J51" s="3">
        <f t="shared" si="46"/>
        <v>289.23446461662866</v>
      </c>
      <c r="K51" s="3">
        <f t="shared" si="46"/>
        <v>331.80538795830506</v>
      </c>
    </row>
    <row r="52" spans="3:11" x14ac:dyDescent="0.3">
      <c r="C52" s="1" t="s">
        <v>13</v>
      </c>
      <c r="D52" s="4">
        <f>SUM(D49:D51)</f>
        <v>189</v>
      </c>
      <c r="E52" s="4">
        <f t="shared" ref="E52:F52" si="47">SUM(E49:E51)</f>
        <v>227</v>
      </c>
      <c r="F52" s="4">
        <f t="shared" si="47"/>
        <v>263</v>
      </c>
      <c r="G52" s="4">
        <f t="shared" ref="G52" si="48">SUM(G49:G51)</f>
        <v>303.00132928371568</v>
      </c>
      <c r="H52" s="4">
        <f t="shared" ref="H52" si="49">SUM(H49:H51)</f>
        <v>347.59852615809359</v>
      </c>
      <c r="I52" s="4">
        <f t="shared" ref="I52" si="50">SUM(I49:I51)</f>
        <v>398.75975353937974</v>
      </c>
      <c r="J52" s="4">
        <f t="shared" ref="J52" si="51">SUM(J49:J51)</f>
        <v>457.45113709275847</v>
      </c>
      <c r="K52" s="4">
        <f t="shared" ref="K52" si="52">SUM(K49:K51)</f>
        <v>524.78100151797787</v>
      </c>
    </row>
    <row r="53" spans="3:11" x14ac:dyDescent="0.3"/>
    <row r="54" spans="3:11" x14ac:dyDescent="0.3">
      <c r="C54" t="s">
        <v>12</v>
      </c>
      <c r="D54" s="5">
        <v>0</v>
      </c>
      <c r="E54" s="5">
        <v>12</v>
      </c>
      <c r="F54" s="5">
        <v>5</v>
      </c>
      <c r="G54" s="24">
        <f>F54+G112</f>
        <v>0</v>
      </c>
      <c r="H54" s="24">
        <f>G54+H112</f>
        <v>0</v>
      </c>
      <c r="I54" s="24">
        <f>H54+I112</f>
        <v>0</v>
      </c>
      <c r="J54" s="24">
        <f>I54+J112</f>
        <v>0</v>
      </c>
      <c r="K54" s="24">
        <f>J54+K112</f>
        <v>0</v>
      </c>
    </row>
    <row r="55" spans="3:11" x14ac:dyDescent="0.3">
      <c r="C55" t="s">
        <v>14</v>
      </c>
      <c r="D55" s="5">
        <v>167</v>
      </c>
      <c r="E55" s="5">
        <v>178</v>
      </c>
      <c r="F55" s="5">
        <v>186</v>
      </c>
      <c r="G55" s="3">
        <v>186</v>
      </c>
      <c r="H55" s="3">
        <v>186</v>
      </c>
      <c r="I55" s="3">
        <v>186</v>
      </c>
      <c r="J55" s="3">
        <v>186</v>
      </c>
      <c r="K55" s="3">
        <v>186</v>
      </c>
    </row>
    <row r="56" spans="3:11" x14ac:dyDescent="0.3">
      <c r="C56" t="s">
        <v>44</v>
      </c>
      <c r="D56" s="5">
        <v>45</v>
      </c>
      <c r="E56" s="5">
        <v>47</v>
      </c>
      <c r="F56" s="5">
        <v>49</v>
      </c>
      <c r="G56" s="3">
        <v>49</v>
      </c>
      <c r="H56" s="3">
        <v>49</v>
      </c>
      <c r="I56" s="3">
        <v>49</v>
      </c>
      <c r="J56" s="3">
        <v>49</v>
      </c>
      <c r="K56" s="3">
        <v>49</v>
      </c>
    </row>
    <row r="57" spans="3:11" x14ac:dyDescent="0.3">
      <c r="C57" s="1" t="s">
        <v>15</v>
      </c>
      <c r="D57" s="4">
        <f>D52+SUM(D54:D56)</f>
        <v>401</v>
      </c>
      <c r="E57" s="4">
        <f t="shared" ref="E57:F57" si="53">E52+SUM(E54:E56)</f>
        <v>464</v>
      </c>
      <c r="F57" s="4">
        <f t="shared" si="53"/>
        <v>503</v>
      </c>
      <c r="G57" s="4">
        <f t="shared" ref="G57" si="54">G52+SUM(G54:G56)</f>
        <v>538.00132928371568</v>
      </c>
      <c r="H57" s="4">
        <f t="shared" ref="H57" si="55">H52+SUM(H54:H56)</f>
        <v>582.59852615809359</v>
      </c>
      <c r="I57" s="4">
        <f t="shared" ref="I57" si="56">I52+SUM(I54:I56)</f>
        <v>633.75975353937974</v>
      </c>
      <c r="J57" s="4">
        <f t="shared" ref="J57" si="57">J52+SUM(J54:J56)</f>
        <v>692.45113709275847</v>
      </c>
      <c r="K57" s="4">
        <f t="shared" ref="K57" si="58">K52+SUM(K54:K56)</f>
        <v>759.78100151797787</v>
      </c>
    </row>
    <row r="58" spans="3:11" x14ac:dyDescent="0.3"/>
    <row r="59" spans="3:11" x14ac:dyDescent="0.3">
      <c r="C59" t="s">
        <v>45</v>
      </c>
      <c r="D59" s="5">
        <v>35</v>
      </c>
      <c r="E59" s="5">
        <v>37</v>
      </c>
      <c r="F59" s="5">
        <v>39</v>
      </c>
      <c r="G59" s="3">
        <f>G72</f>
        <v>44</v>
      </c>
      <c r="H59" s="3">
        <f t="shared" ref="H59:K59" si="59">H72</f>
        <v>49</v>
      </c>
      <c r="I59" s="3">
        <f t="shared" si="59"/>
        <v>54</v>
      </c>
      <c r="J59" s="3">
        <f t="shared" si="59"/>
        <v>59</v>
      </c>
      <c r="K59" s="3">
        <f t="shared" si="59"/>
        <v>64</v>
      </c>
    </row>
    <row r="60" spans="3:11" x14ac:dyDescent="0.3">
      <c r="C60" t="s">
        <v>46</v>
      </c>
      <c r="D60" s="5">
        <v>-145</v>
      </c>
      <c r="E60" s="5">
        <v>-178</v>
      </c>
      <c r="F60" s="5">
        <v>-210</v>
      </c>
      <c r="G60" s="3">
        <f>G76</f>
        <v>-230</v>
      </c>
      <c r="H60" s="3">
        <f t="shared" ref="H60:K60" si="60">H76</f>
        <v>-250</v>
      </c>
      <c r="I60" s="3">
        <f t="shared" si="60"/>
        <v>-270</v>
      </c>
      <c r="J60" s="3">
        <f t="shared" si="60"/>
        <v>-290</v>
      </c>
      <c r="K60" s="3">
        <f t="shared" si="60"/>
        <v>-310</v>
      </c>
    </row>
    <row r="61" spans="3:11" x14ac:dyDescent="0.3">
      <c r="C61" t="s">
        <v>47</v>
      </c>
      <c r="D61" s="5">
        <v>-7</v>
      </c>
      <c r="E61" s="5">
        <v>12</v>
      </c>
      <c r="F61" s="5">
        <v>43</v>
      </c>
      <c r="G61" s="3">
        <v>43</v>
      </c>
      <c r="H61" s="3">
        <v>43</v>
      </c>
      <c r="I61" s="3">
        <v>43</v>
      </c>
      <c r="J61" s="3">
        <v>43</v>
      </c>
      <c r="K61" s="3">
        <v>43</v>
      </c>
    </row>
    <row r="62" spans="3:11" x14ac:dyDescent="0.3">
      <c r="C62" t="s">
        <v>5</v>
      </c>
      <c r="D62" s="5">
        <v>698</v>
      </c>
      <c r="E62" s="5">
        <v>743</v>
      </c>
      <c r="F62" s="5">
        <v>807</v>
      </c>
      <c r="G62" s="3">
        <f>G81</f>
        <v>864.80293661819235</v>
      </c>
      <c r="H62" s="3">
        <f t="shared" ref="H62:K62" si="61">H81</f>
        <v>952.92684052099389</v>
      </c>
      <c r="I62" s="3">
        <f t="shared" si="61"/>
        <v>1076.2931425385584</v>
      </c>
      <c r="J62" s="3">
        <f t="shared" si="61"/>
        <v>1240.5932722983894</v>
      </c>
      <c r="K62" s="3">
        <f t="shared" si="61"/>
        <v>1452.3667397759937</v>
      </c>
    </row>
    <row r="63" spans="3:11" x14ac:dyDescent="0.3">
      <c r="C63" s="1" t="s">
        <v>48</v>
      </c>
      <c r="D63" s="4">
        <f>SUM(D59:D62)</f>
        <v>581</v>
      </c>
      <c r="E63" s="4">
        <f t="shared" ref="E63:K63" si="62">SUM(E59:E62)</f>
        <v>614</v>
      </c>
      <c r="F63" s="4">
        <f t="shared" si="62"/>
        <v>679</v>
      </c>
      <c r="G63" s="4">
        <f t="shared" si="62"/>
        <v>721.80293661819235</v>
      </c>
      <c r="H63" s="4">
        <f t="shared" si="62"/>
        <v>794.92684052099389</v>
      </c>
      <c r="I63" s="4">
        <f t="shared" si="62"/>
        <v>903.29314253855841</v>
      </c>
      <c r="J63" s="4">
        <f t="shared" si="62"/>
        <v>1052.5932722983894</v>
      </c>
      <c r="K63" s="4">
        <f t="shared" si="62"/>
        <v>1249.3667397759937</v>
      </c>
    </row>
    <row r="64" spans="3:11" x14ac:dyDescent="0.3"/>
    <row r="65" spans="3:11" x14ac:dyDescent="0.3">
      <c r="C65" s="1" t="s">
        <v>49</v>
      </c>
      <c r="D65" s="4">
        <f>D63+D57</f>
        <v>982</v>
      </c>
      <c r="E65" s="4">
        <f t="shared" ref="E65:K65" si="63">E63+E57</f>
        <v>1078</v>
      </c>
      <c r="F65" s="4">
        <f t="shared" si="63"/>
        <v>1182</v>
      </c>
      <c r="G65" s="4">
        <f t="shared" si="63"/>
        <v>1259.8042659019079</v>
      </c>
      <c r="H65" s="4">
        <f t="shared" si="63"/>
        <v>1377.5253666790875</v>
      </c>
      <c r="I65" s="4">
        <f t="shared" si="63"/>
        <v>1537.0528960779382</v>
      </c>
      <c r="J65" s="4">
        <f t="shared" si="63"/>
        <v>1745.0444093911478</v>
      </c>
      <c r="K65" s="4">
        <f t="shared" si="63"/>
        <v>2009.1477412939716</v>
      </c>
    </row>
    <row r="66" spans="3:11" x14ac:dyDescent="0.3">
      <c r="C66" s="21" t="s">
        <v>10</v>
      </c>
      <c r="D66" s="22">
        <f>D47</f>
        <v>982</v>
      </c>
      <c r="E66" s="22">
        <f t="shared" ref="E66:K66" si="64">E47</f>
        <v>1078</v>
      </c>
      <c r="F66" s="22">
        <f t="shared" si="64"/>
        <v>1182</v>
      </c>
      <c r="G66" s="22">
        <f t="shared" si="64"/>
        <v>1259.8042659019079</v>
      </c>
      <c r="H66" s="22">
        <f t="shared" si="64"/>
        <v>1377.5253666790873</v>
      </c>
      <c r="I66" s="22">
        <f t="shared" si="64"/>
        <v>1537.0528960779384</v>
      </c>
      <c r="J66" s="22">
        <f t="shared" si="64"/>
        <v>1745.0444093911478</v>
      </c>
      <c r="K66" s="22">
        <f t="shared" si="64"/>
        <v>2009.1477412939714</v>
      </c>
    </row>
    <row r="67" spans="3:11" x14ac:dyDescent="0.3">
      <c r="C67" s="21" t="s">
        <v>75</v>
      </c>
      <c r="D67" s="23" t="str">
        <f>IF(D65=D66,"Yes","No")</f>
        <v>Yes</v>
      </c>
      <c r="E67" s="23" t="str">
        <f t="shared" ref="E67:K67" si="65">IF(E65=E66,"Yes","No")</f>
        <v>Yes</v>
      </c>
      <c r="F67" s="23" t="str">
        <f t="shared" si="65"/>
        <v>Yes</v>
      </c>
      <c r="G67" s="23" t="str">
        <f t="shared" si="65"/>
        <v>Yes</v>
      </c>
      <c r="H67" s="23" t="str">
        <f t="shared" si="65"/>
        <v>Yes</v>
      </c>
      <c r="I67" s="23" t="str">
        <f t="shared" si="65"/>
        <v>Yes</v>
      </c>
      <c r="J67" s="23" t="str">
        <f t="shared" si="65"/>
        <v>Yes</v>
      </c>
      <c r="K67" s="23" t="str">
        <f t="shared" si="65"/>
        <v>Yes</v>
      </c>
    </row>
    <row r="68" spans="3:11" x14ac:dyDescent="0.3"/>
    <row r="69" spans="3:11" x14ac:dyDescent="0.3">
      <c r="C69" s="25" t="s">
        <v>59</v>
      </c>
      <c r="D69" s="26"/>
      <c r="E69" s="26"/>
      <c r="F69" s="26"/>
      <c r="G69" s="26"/>
      <c r="H69" s="26"/>
      <c r="I69" s="26"/>
      <c r="J69" s="26"/>
      <c r="K69" s="26"/>
    </row>
    <row r="70" spans="3:11" x14ac:dyDescent="0.3">
      <c r="C70" s="26" t="s">
        <v>57</v>
      </c>
      <c r="D70" s="26"/>
      <c r="E70" s="26"/>
      <c r="F70" s="26"/>
      <c r="G70" s="27">
        <f>F59</f>
        <v>39</v>
      </c>
      <c r="H70" s="27">
        <f>G72</f>
        <v>44</v>
      </c>
      <c r="I70" s="27">
        <f t="shared" ref="I70:K70" si="66">H72</f>
        <v>49</v>
      </c>
      <c r="J70" s="27">
        <f t="shared" si="66"/>
        <v>54</v>
      </c>
      <c r="K70" s="27">
        <f t="shared" si="66"/>
        <v>59</v>
      </c>
    </row>
    <row r="71" spans="3:11" x14ac:dyDescent="0.3">
      <c r="C71" s="26" t="s">
        <v>58</v>
      </c>
      <c r="D71" s="26"/>
      <c r="E71" s="26"/>
      <c r="F71" s="26"/>
      <c r="G71" s="28">
        <v>5</v>
      </c>
      <c r="H71" s="28">
        <v>5</v>
      </c>
      <c r="I71" s="28">
        <v>5</v>
      </c>
      <c r="J71" s="28">
        <v>5</v>
      </c>
      <c r="K71" s="28">
        <v>5</v>
      </c>
    </row>
    <row r="72" spans="3:11" x14ac:dyDescent="0.3">
      <c r="C72" s="25" t="s">
        <v>50</v>
      </c>
      <c r="D72" s="25"/>
      <c r="E72" s="25"/>
      <c r="F72" s="25"/>
      <c r="G72" s="29">
        <f>SUM(G70:G71)</f>
        <v>44</v>
      </c>
      <c r="H72" s="29">
        <f t="shared" ref="H72:K72" si="67">SUM(H70:H71)</f>
        <v>49</v>
      </c>
      <c r="I72" s="29">
        <f t="shared" si="67"/>
        <v>54</v>
      </c>
      <c r="J72" s="29">
        <f t="shared" si="67"/>
        <v>59</v>
      </c>
      <c r="K72" s="29">
        <f t="shared" si="67"/>
        <v>64</v>
      </c>
    </row>
    <row r="73" spans="3:11" x14ac:dyDescent="0.3">
      <c r="C73" s="25"/>
      <c r="D73" s="25"/>
      <c r="E73" s="25"/>
      <c r="F73" s="25"/>
      <c r="G73" s="27"/>
      <c r="H73" s="27"/>
      <c r="I73" s="27"/>
      <c r="J73" s="27"/>
      <c r="K73" s="27"/>
    </row>
    <row r="74" spans="3:11" x14ac:dyDescent="0.3">
      <c r="C74" s="26" t="s">
        <v>51</v>
      </c>
      <c r="D74" s="26"/>
      <c r="E74" s="26"/>
      <c r="F74" s="26"/>
      <c r="G74" s="27">
        <f>F60</f>
        <v>-210</v>
      </c>
      <c r="H74" s="27">
        <f>G76</f>
        <v>-230</v>
      </c>
      <c r="I74" s="27">
        <f t="shared" ref="I74:K74" si="68">H76</f>
        <v>-250</v>
      </c>
      <c r="J74" s="27">
        <f t="shared" si="68"/>
        <v>-270</v>
      </c>
      <c r="K74" s="27">
        <f t="shared" si="68"/>
        <v>-290</v>
      </c>
    </row>
    <row r="75" spans="3:11" x14ac:dyDescent="0.3">
      <c r="C75" s="26" t="s">
        <v>52</v>
      </c>
      <c r="D75" s="26"/>
      <c r="E75" s="26"/>
      <c r="F75" s="26"/>
      <c r="G75" s="28">
        <v>-20</v>
      </c>
      <c r="H75" s="28">
        <v>-20</v>
      </c>
      <c r="I75" s="28">
        <v>-20</v>
      </c>
      <c r="J75" s="28">
        <v>-20</v>
      </c>
      <c r="K75" s="28">
        <v>-20</v>
      </c>
    </row>
    <row r="76" spans="3:11" x14ac:dyDescent="0.3">
      <c r="C76" s="25" t="s">
        <v>53</v>
      </c>
      <c r="D76" s="26"/>
      <c r="E76" s="26"/>
      <c r="F76" s="26"/>
      <c r="G76" s="29">
        <f>SUM(G74:G75)</f>
        <v>-230</v>
      </c>
      <c r="H76" s="29">
        <f t="shared" ref="H76:K76" si="69">SUM(H74:H75)</f>
        <v>-250</v>
      </c>
      <c r="I76" s="29">
        <f t="shared" si="69"/>
        <v>-270</v>
      </c>
      <c r="J76" s="29">
        <f t="shared" si="69"/>
        <v>-290</v>
      </c>
      <c r="K76" s="29">
        <f t="shared" si="69"/>
        <v>-310</v>
      </c>
    </row>
    <row r="77" spans="3:11" x14ac:dyDescent="0.3">
      <c r="C77" s="26"/>
      <c r="D77" s="26"/>
      <c r="E77" s="26"/>
      <c r="F77" s="26"/>
      <c r="G77" s="26"/>
      <c r="H77" s="26"/>
      <c r="I77" s="26"/>
      <c r="J77" s="26"/>
      <c r="K77" s="26"/>
    </row>
    <row r="78" spans="3:11" x14ac:dyDescent="0.3">
      <c r="C78" s="26" t="s">
        <v>54</v>
      </c>
      <c r="D78" s="26"/>
      <c r="E78" s="26"/>
      <c r="F78" s="26"/>
      <c r="G78" s="27">
        <f>F62</f>
        <v>807</v>
      </c>
      <c r="H78" s="27">
        <f>G81</f>
        <v>864.80293661819235</v>
      </c>
      <c r="I78" s="27">
        <f t="shared" ref="I78:K78" si="70">H81</f>
        <v>952.92684052099389</v>
      </c>
      <c r="J78" s="27">
        <f t="shared" si="70"/>
        <v>1076.2931425385584</v>
      </c>
      <c r="K78" s="27">
        <f t="shared" si="70"/>
        <v>1240.5932722983894</v>
      </c>
    </row>
    <row r="79" spans="3:11" x14ac:dyDescent="0.3">
      <c r="C79" s="26" t="s">
        <v>8</v>
      </c>
      <c r="D79" s="26"/>
      <c r="E79" s="26"/>
      <c r="F79" s="26"/>
      <c r="G79" s="27">
        <f>G16</f>
        <v>207.80293661819235</v>
      </c>
      <c r="H79" s="27">
        <f>H16</f>
        <v>238.12390390280163</v>
      </c>
      <c r="I79" s="27">
        <f>I16</f>
        <v>273.36630201756452</v>
      </c>
      <c r="J79" s="27">
        <f>J16</f>
        <v>314.30012975983084</v>
      </c>
      <c r="K79" s="27">
        <f>K16</f>
        <v>361.77346747760424</v>
      </c>
    </row>
    <row r="80" spans="3:11" x14ac:dyDescent="0.3">
      <c r="C80" s="26" t="s">
        <v>55</v>
      </c>
      <c r="D80" s="26"/>
      <c r="E80" s="26"/>
      <c r="F80" s="26"/>
      <c r="G80" s="28">
        <v>-150</v>
      </c>
      <c r="H80" s="28">
        <v>-150</v>
      </c>
      <c r="I80" s="28">
        <v>-150</v>
      </c>
      <c r="J80" s="28">
        <v>-150</v>
      </c>
      <c r="K80" s="28">
        <v>-150</v>
      </c>
    </row>
    <row r="81" spans="3:13" x14ac:dyDescent="0.3">
      <c r="C81" s="25" t="s">
        <v>56</v>
      </c>
      <c r="D81" s="26"/>
      <c r="E81" s="26"/>
      <c r="F81" s="26"/>
      <c r="G81" s="29">
        <f>SUM(G78:G80)</f>
        <v>864.80293661819235</v>
      </c>
      <c r="H81" s="29">
        <f t="shared" ref="H81:K81" si="71">SUM(H78:H80)</f>
        <v>952.92684052099389</v>
      </c>
      <c r="I81" s="29">
        <f t="shared" si="71"/>
        <v>1076.2931425385584</v>
      </c>
      <c r="J81" s="29">
        <f t="shared" si="71"/>
        <v>1240.5932722983894</v>
      </c>
      <c r="K81" s="29">
        <f t="shared" si="71"/>
        <v>1452.3667397759937</v>
      </c>
    </row>
    <row r="82" spans="3:13" x14ac:dyDescent="0.3"/>
    <row r="83" spans="3:13" x14ac:dyDescent="0.3">
      <c r="C83" s="1" t="s">
        <v>2</v>
      </c>
    </row>
    <row r="84" spans="3:13" x14ac:dyDescent="0.3"/>
    <row r="85" spans="3:13" x14ac:dyDescent="0.3">
      <c r="C85" t="s">
        <v>62</v>
      </c>
      <c r="G85" s="3">
        <f>G16</f>
        <v>207.80293661819235</v>
      </c>
      <c r="H85" s="3">
        <f t="shared" ref="H85:K85" si="72">H16</f>
        <v>238.12390390280163</v>
      </c>
      <c r="I85" s="3">
        <f t="shared" si="72"/>
        <v>273.36630201756452</v>
      </c>
      <c r="J85" s="3">
        <f t="shared" si="72"/>
        <v>314.30012975983084</v>
      </c>
      <c r="K85" s="3">
        <f t="shared" si="72"/>
        <v>361.77346747760424</v>
      </c>
    </row>
    <row r="86" spans="3:13" x14ac:dyDescent="0.3">
      <c r="C86" t="s">
        <v>60</v>
      </c>
      <c r="G86" s="3">
        <f>(G26+G29)*-1</f>
        <v>56.212056303549573</v>
      </c>
      <c r="H86" s="3">
        <f t="shared" ref="H86:K86" si="73">(H26+H29)*-1</f>
        <v>64.485617834151583</v>
      </c>
      <c r="I86" s="3">
        <f t="shared" si="73"/>
        <v>73.976922050255283</v>
      </c>
      <c r="J86" s="3">
        <f t="shared" si="73"/>
        <v>84.865202192903013</v>
      </c>
      <c r="K86" s="3">
        <f t="shared" si="73"/>
        <v>97.356071915909865</v>
      </c>
      <c r="M86" s="6"/>
    </row>
    <row r="87" spans="3:13" x14ac:dyDescent="0.3">
      <c r="C87" t="s">
        <v>9</v>
      </c>
      <c r="G87" s="3">
        <f>F38-G38</f>
        <v>-22.666462668298664</v>
      </c>
      <c r="H87" s="3">
        <f t="shared" ref="H87:K87" si="74">G38-H38</f>
        <v>-26.002621953320585</v>
      </c>
      <c r="I87" s="3">
        <f t="shared" si="74"/>
        <v>-29.829813250611636</v>
      </c>
      <c r="J87" s="3">
        <f t="shared" si="74"/>
        <v>-34.220309019750005</v>
      </c>
      <c r="K87" s="3">
        <f t="shared" si="74"/>
        <v>-39.257019129450043</v>
      </c>
    </row>
    <row r="88" spans="3:13" x14ac:dyDescent="0.3">
      <c r="C88" t="s">
        <v>4</v>
      </c>
      <c r="G88" s="3">
        <f>F39-G39</f>
        <v>-59.873533798479002</v>
      </c>
      <c r="H88" s="3">
        <f t="shared" ref="H88:K89" si="75">G39-H39</f>
        <v>-59.591239215749226</v>
      </c>
      <c r="I88" s="3">
        <f t="shared" si="75"/>
        <v>-68.362165183550758</v>
      </c>
      <c r="J88" s="3">
        <f t="shared" si="75"/>
        <v>-78.424038333271596</v>
      </c>
      <c r="K88" s="3">
        <f t="shared" si="75"/>
        <v>-89.966866496767238</v>
      </c>
    </row>
    <row r="89" spans="3:13" x14ac:dyDescent="0.3">
      <c r="C89" t="s">
        <v>31</v>
      </c>
      <c r="G89" s="3">
        <f>F40-G40</f>
        <v>-6.6233170134638897</v>
      </c>
      <c r="H89" s="3">
        <f t="shared" si="75"/>
        <v>-7.5981687525936792</v>
      </c>
      <c r="I89" s="3">
        <f t="shared" si="75"/>
        <v>-8.7165038719319767</v>
      </c>
      <c r="J89" s="3">
        <f t="shared" si="75"/>
        <v>-9.9994409473295462</v>
      </c>
      <c r="K89" s="3">
        <f t="shared" si="75"/>
        <v>-11.471206888475663</v>
      </c>
    </row>
    <row r="90" spans="3:13" x14ac:dyDescent="0.3">
      <c r="C90" t="s">
        <v>11</v>
      </c>
      <c r="G90" s="3">
        <f>G49-F49</f>
        <v>8.5037772641318057</v>
      </c>
      <c r="H90" s="3">
        <f t="shared" ref="H90:K90" si="76">H49-G49</f>
        <v>8.4636832509324975</v>
      </c>
      <c r="I90" s="3">
        <f t="shared" si="76"/>
        <v>9.7094089680985149</v>
      </c>
      <c r="J90" s="3">
        <f t="shared" si="76"/>
        <v>11.138486603855966</v>
      </c>
      <c r="K90" s="3">
        <f t="shared" si="76"/>
        <v>12.777902777801728</v>
      </c>
    </row>
    <row r="91" spans="3:13" x14ac:dyDescent="0.3">
      <c r="C91" t="s">
        <v>42</v>
      </c>
      <c r="G91" s="3">
        <f t="shared" ref="G91:K91" si="77">G50-F50</f>
        <v>6.9176866585067316</v>
      </c>
      <c r="H91" s="3">
        <f t="shared" si="77"/>
        <v>7.9358651415978372</v>
      </c>
      <c r="I91" s="3">
        <f t="shared" si="77"/>
        <v>9.1039040440178383</v>
      </c>
      <c r="J91" s="3">
        <f t="shared" si="77"/>
        <v>10.443860544988638</v>
      </c>
      <c r="K91" s="3">
        <f t="shared" si="77"/>
        <v>11.981038305741251</v>
      </c>
    </row>
    <row r="92" spans="3:13" x14ac:dyDescent="0.3">
      <c r="C92" t="s">
        <v>43</v>
      </c>
      <c r="G92" s="3">
        <f t="shared" ref="G92:K92" si="78">G51-F51</f>
        <v>24.579865361077111</v>
      </c>
      <c r="H92" s="3">
        <f t="shared" si="78"/>
        <v>28.197648481847637</v>
      </c>
      <c r="I92" s="3">
        <f t="shared" si="78"/>
        <v>32.347914369169786</v>
      </c>
      <c r="J92" s="3">
        <f t="shared" si="78"/>
        <v>37.109036404534123</v>
      </c>
      <c r="K92" s="3">
        <f t="shared" si="78"/>
        <v>42.570923341676405</v>
      </c>
    </row>
    <row r="93" spans="3:13" x14ac:dyDescent="0.3">
      <c r="C93" s="1" t="s">
        <v>61</v>
      </c>
      <c r="G93" s="4">
        <f>SUM(G85:G92)</f>
        <v>214.853008725216</v>
      </c>
      <c r="H93" s="4">
        <f t="shared" ref="H93:K93" si="79">SUM(H85:H92)</f>
        <v>254.01468868966765</v>
      </c>
      <c r="I93" s="4">
        <f t="shared" si="79"/>
        <v>291.59596914301153</v>
      </c>
      <c r="J93" s="4">
        <f t="shared" si="79"/>
        <v>335.21292720576139</v>
      </c>
      <c r="K93" s="4">
        <f t="shared" si="79"/>
        <v>385.76431130404058</v>
      </c>
    </row>
    <row r="94" spans="3:13" x14ac:dyDescent="0.3"/>
    <row r="95" spans="3:13" x14ac:dyDescent="0.3">
      <c r="C95" t="s">
        <v>16</v>
      </c>
      <c r="G95" s="3">
        <f>G27</f>
        <v>-76.861383108935129</v>
      </c>
      <c r="H95" s="3">
        <f t="shared" ref="H95:K95" si="80">H27</f>
        <v>-88.17421214057461</v>
      </c>
      <c r="I95" s="3">
        <f t="shared" si="80"/>
        <v>-101.15211790545111</v>
      </c>
      <c r="J95" s="3">
        <f t="shared" si="80"/>
        <v>-116.04017442703066</v>
      </c>
      <c r="K95" s="3">
        <f t="shared" si="80"/>
        <v>-133.11952690542776</v>
      </c>
    </row>
    <row r="96" spans="3:13" x14ac:dyDescent="0.3">
      <c r="C96" t="s">
        <v>63</v>
      </c>
      <c r="G96" s="3">
        <f>G30</f>
        <v>-24.090881272949815</v>
      </c>
      <c r="H96" s="3">
        <f t="shared" ref="H96:K96" si="81">H30</f>
        <v>-27.636693357493531</v>
      </c>
      <c r="I96" s="3">
        <f t="shared" si="81"/>
        <v>-31.70439516439512</v>
      </c>
      <c r="J96" s="3">
        <f t="shared" si="81"/>
        <v>-36.370800939815574</v>
      </c>
      <c r="K96" s="3">
        <f t="shared" si="81"/>
        <v>-41.724030821104222</v>
      </c>
    </row>
    <row r="97" spans="3:11" x14ac:dyDescent="0.3">
      <c r="C97" s="1" t="s">
        <v>64</v>
      </c>
      <c r="G97" s="4">
        <f>SUM(G95:G96)</f>
        <v>-100.95226438188494</v>
      </c>
      <c r="H97" s="4">
        <f t="shared" ref="H97:K97" si="82">SUM(H95:H96)</f>
        <v>-115.81090549806814</v>
      </c>
      <c r="I97" s="4">
        <f t="shared" si="82"/>
        <v>-132.85651306984622</v>
      </c>
      <c r="J97" s="4">
        <f t="shared" si="82"/>
        <v>-152.41097536684623</v>
      </c>
      <c r="K97" s="4">
        <f t="shared" si="82"/>
        <v>-174.84355772653197</v>
      </c>
    </row>
    <row r="98" spans="3:11" x14ac:dyDescent="0.3"/>
    <row r="99" spans="3:11" x14ac:dyDescent="0.3">
      <c r="C99" t="s">
        <v>14</v>
      </c>
      <c r="G99" s="3">
        <f>G55-F55</f>
        <v>0</v>
      </c>
      <c r="H99" s="3">
        <f t="shared" ref="H99:K99" si="83">H55-G55</f>
        <v>0</v>
      </c>
      <c r="I99" s="3">
        <f t="shared" si="83"/>
        <v>0</v>
      </c>
      <c r="J99" s="3">
        <f t="shared" si="83"/>
        <v>0</v>
      </c>
      <c r="K99" s="3">
        <f t="shared" si="83"/>
        <v>0</v>
      </c>
    </row>
    <row r="100" spans="3:11" x14ac:dyDescent="0.3">
      <c r="C100" t="s">
        <v>12</v>
      </c>
      <c r="G100" s="24">
        <f>G54-F54</f>
        <v>-5</v>
      </c>
      <c r="H100" s="24">
        <f t="shared" ref="H100:K100" si="84">H54-G54</f>
        <v>0</v>
      </c>
      <c r="I100" s="24">
        <f t="shared" si="84"/>
        <v>0</v>
      </c>
      <c r="J100" s="24">
        <f t="shared" si="84"/>
        <v>0</v>
      </c>
      <c r="K100" s="24">
        <f t="shared" si="84"/>
        <v>0</v>
      </c>
    </row>
    <row r="101" spans="3:11" x14ac:dyDescent="0.3">
      <c r="C101" t="s">
        <v>44</v>
      </c>
      <c r="G101" s="3">
        <f>G56-F56</f>
        <v>0</v>
      </c>
      <c r="H101" s="3">
        <f t="shared" ref="H101:K101" si="85">H56-G56</f>
        <v>0</v>
      </c>
      <c r="I101" s="3">
        <f t="shared" si="85"/>
        <v>0</v>
      </c>
      <c r="J101" s="3">
        <f t="shared" si="85"/>
        <v>0</v>
      </c>
      <c r="K101" s="3">
        <f t="shared" si="85"/>
        <v>0</v>
      </c>
    </row>
    <row r="102" spans="3:11" x14ac:dyDescent="0.3">
      <c r="C102" t="s">
        <v>65</v>
      </c>
      <c r="G102" s="3">
        <f>G59-F59</f>
        <v>5</v>
      </c>
      <c r="H102" s="3">
        <f t="shared" ref="H102:K102" si="86">H59-G59</f>
        <v>5</v>
      </c>
      <c r="I102" s="3">
        <f t="shared" si="86"/>
        <v>5</v>
      </c>
      <c r="J102" s="3">
        <f t="shared" si="86"/>
        <v>5</v>
      </c>
      <c r="K102" s="3">
        <f t="shared" si="86"/>
        <v>5</v>
      </c>
    </row>
    <row r="103" spans="3:11" x14ac:dyDescent="0.3">
      <c r="C103" t="s">
        <v>66</v>
      </c>
      <c r="G103" s="3">
        <f>G60-F60</f>
        <v>-20</v>
      </c>
      <c r="H103" s="3">
        <f t="shared" ref="H103:K103" si="87">H60-G60</f>
        <v>-20</v>
      </c>
      <c r="I103" s="3">
        <f t="shared" si="87"/>
        <v>-20</v>
      </c>
      <c r="J103" s="3">
        <f t="shared" si="87"/>
        <v>-20</v>
      </c>
      <c r="K103" s="3">
        <f t="shared" si="87"/>
        <v>-20</v>
      </c>
    </row>
    <row r="104" spans="3:11" x14ac:dyDescent="0.3">
      <c r="C104" t="s">
        <v>47</v>
      </c>
      <c r="G104" s="3">
        <f>G61-F61</f>
        <v>0</v>
      </c>
      <c r="H104" s="3">
        <f t="shared" ref="H104:K104" si="88">H61-G61</f>
        <v>0</v>
      </c>
      <c r="I104" s="3">
        <f t="shared" si="88"/>
        <v>0</v>
      </c>
      <c r="J104" s="3">
        <f t="shared" si="88"/>
        <v>0</v>
      </c>
      <c r="K104" s="3">
        <f t="shared" si="88"/>
        <v>0</v>
      </c>
    </row>
    <row r="105" spans="3:11" x14ac:dyDescent="0.3">
      <c r="C105" t="s">
        <v>17</v>
      </c>
      <c r="G105" s="3">
        <f>G80</f>
        <v>-150</v>
      </c>
      <c r="H105" s="3">
        <f t="shared" ref="H105:K105" si="89">H80</f>
        <v>-150</v>
      </c>
      <c r="I105" s="3">
        <f t="shared" si="89"/>
        <v>-150</v>
      </c>
      <c r="J105" s="3">
        <f t="shared" si="89"/>
        <v>-150</v>
      </c>
      <c r="K105" s="3">
        <f t="shared" si="89"/>
        <v>-150</v>
      </c>
    </row>
    <row r="106" spans="3:11" x14ac:dyDescent="0.3">
      <c r="C106" s="1" t="s">
        <v>67</v>
      </c>
      <c r="G106" s="4">
        <f>SUM(G99:G105)</f>
        <v>-170</v>
      </c>
      <c r="H106" s="4">
        <f t="shared" ref="H106:K106" si="90">SUM(H99:H105)</f>
        <v>-165</v>
      </c>
      <c r="I106" s="4">
        <f t="shared" si="90"/>
        <v>-165</v>
      </c>
      <c r="J106" s="4">
        <f t="shared" si="90"/>
        <v>-165</v>
      </c>
      <c r="K106" s="4">
        <f t="shared" si="90"/>
        <v>-165</v>
      </c>
    </row>
    <row r="107" spans="3:11" x14ac:dyDescent="0.3"/>
    <row r="108" spans="3:11" x14ac:dyDescent="0.3">
      <c r="C108" s="1" t="s">
        <v>68</v>
      </c>
      <c r="G108" s="4">
        <f>G93+G97+G106</f>
        <v>-56.099255656668944</v>
      </c>
      <c r="H108" s="4">
        <f t="shared" ref="H108:K108" si="91">H93+H97+H106</f>
        <v>-26.796216808400487</v>
      </c>
      <c r="I108" s="4">
        <f t="shared" si="91"/>
        <v>-6.2605439268346856</v>
      </c>
      <c r="J108" s="4">
        <f t="shared" si="91"/>
        <v>17.801951838915159</v>
      </c>
      <c r="K108" s="4">
        <f t="shared" si="91"/>
        <v>45.920753577508606</v>
      </c>
    </row>
    <row r="109" spans="3:11" x14ac:dyDescent="0.3"/>
    <row r="110" spans="3:11" x14ac:dyDescent="0.3"/>
    <row r="111" spans="3:11" x14ac:dyDescent="0.3">
      <c r="C111" s="21" t="s">
        <v>69</v>
      </c>
      <c r="D111" s="21"/>
      <c r="E111" s="21"/>
      <c r="F111" s="21"/>
      <c r="G111" s="22">
        <f>F37+G93+G97+G99+SUM(G101:G105)</f>
        <v>254.90074434333104</v>
      </c>
      <c r="H111" s="22">
        <f t="shared" ref="H111:K111" si="92">G37+H93+H97+H99+SUM(H101:H105)</f>
        <v>223.10452753493053</v>
      </c>
      <c r="I111" s="22">
        <f t="shared" si="92"/>
        <v>216.84398360809587</v>
      </c>
      <c r="J111" s="22">
        <f t="shared" si="92"/>
        <v>234.64593544701103</v>
      </c>
      <c r="K111" s="22">
        <f t="shared" si="92"/>
        <v>280.56668902451958</v>
      </c>
    </row>
    <row r="112" spans="3:11" x14ac:dyDescent="0.3">
      <c r="C112" s="21" t="s">
        <v>70</v>
      </c>
      <c r="D112" s="21"/>
      <c r="E112" s="21"/>
      <c r="F112" s="21"/>
      <c r="G112" s="22">
        <f>-MIN(G111,F54)</f>
        <v>-5</v>
      </c>
      <c r="H112" s="22">
        <f t="shared" ref="H112:K112" si="93">-MIN(H111,G54)</f>
        <v>0</v>
      </c>
      <c r="I112" s="22">
        <f t="shared" si="93"/>
        <v>0</v>
      </c>
      <c r="J112" s="22">
        <f t="shared" si="93"/>
        <v>0</v>
      </c>
      <c r="K112" s="22">
        <f t="shared" si="93"/>
        <v>0</v>
      </c>
    </row>
    <row r="113" x14ac:dyDescent="0.3"/>
    <row r="114" x14ac:dyDescent="0.3"/>
  </sheetData>
  <pageMargins left="0.7" right="0.7" top="0.75" bottom="0.75" header="0.3" footer="0.3"/>
  <pageSetup scale="52" orientation="portrait" horizontalDpi="0" verticalDpi="0" r:id="rId1"/>
  <headerFooter>
    <oddHeader>&amp;L&amp;"-,Bold"&amp;28 3 Statement Model for Super Tech Online Store</oddHeader>
  </headerFooter>
  <rowBreaks count="1" manualBreakCount="1">
    <brk id="82" max="12" man="1"/>
  </rowBreaks>
  <ignoredErrors>
    <ignoredError sqref="G1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3SM</vt:lpstr>
      <vt:lpstr>'3SM'!Print_Area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Rene Cardenas</cp:lastModifiedBy>
  <dcterms:created xsi:type="dcterms:W3CDTF">2023-10-04T09:06:02Z</dcterms:created>
  <dcterms:modified xsi:type="dcterms:W3CDTF">2025-02-20T20:54:04Z</dcterms:modified>
</cp:coreProperties>
</file>